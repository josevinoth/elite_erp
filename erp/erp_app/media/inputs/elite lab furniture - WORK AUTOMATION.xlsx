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01 ELITE\DEVELOPMENT ACTIVITY\"/>
    </mc:Choice>
  </mc:AlternateContent>
  <bookViews>
    <workbookView xWindow="-120" yWindow="-120" windowWidth="29040" windowHeight="15720" tabRatio="812" activeTab="4"/>
  </bookViews>
  <sheets>
    <sheet name="A4 TEMPLATE" sheetId="10" r:id="rId1"/>
    <sheet name="LC-E" sheetId="12" r:id="rId2"/>
    <sheet name="LCE FORMAT" sheetId="18" r:id="rId3"/>
    <sheet name="LC-A" sheetId="13" r:id="rId4"/>
    <sheet name="DATABASE" sheetId="2" r:id="rId5"/>
    <sheet name="CUST QUOTE MODULE" sheetId="14" r:id="rId6"/>
    <sheet name="GENERATE MAS FOR APPROVAL" sheetId="17" r:id="rId7"/>
    <sheet name="STOCK KEEPER MODULE" sheetId="4" r:id="rId8"/>
    <sheet name="STOCK BOOKING MODULE" sheetId="3" r:id="rId9"/>
    <sheet name="MGMT MODULE" sheetId="8" r:id="rId10"/>
    <sheet name="PURCHASE MODULE" sheetId="6" r:id="rId11"/>
    <sheet name="GENERATE CUST DO" sheetId="9" r:id="rId12"/>
    <sheet name="GENERATE CUST INVOICE" sheetId="15" r:id="rId13"/>
    <sheet name="GENERATE CUST COMP CERT" sheetId="16" r:id="rId1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2" l="1"/>
  <c r="H5" i="2"/>
  <c r="B18" i="18"/>
  <c r="B38" i="18"/>
  <c r="B37" i="18"/>
  <c r="B35" i="18"/>
  <c r="B34" i="18"/>
  <c r="B33" i="18"/>
  <c r="E29" i="18"/>
  <c r="B29" i="18"/>
  <c r="D29" i="18" s="1"/>
  <c r="B27" i="18"/>
  <c r="B25" i="18"/>
  <c r="B8" i="18"/>
  <c r="B10" i="18" s="1"/>
  <c r="B11" i="18"/>
  <c r="B7" i="18"/>
  <c r="B22" i="18" l="1"/>
  <c r="B13" i="18" l="1"/>
  <c r="B14" i="18" s="1"/>
  <c r="D30" i="18"/>
  <c r="F29" i="18" l="1"/>
  <c r="H29" i="18" s="1"/>
  <c r="H30" i="18" s="1"/>
  <c r="B32" i="18" s="1"/>
  <c r="B36" i="18" l="1"/>
  <c r="B40" i="18" l="1"/>
  <c r="B42" i="18"/>
</calcChain>
</file>

<file path=xl/sharedStrings.xml><?xml version="1.0" encoding="utf-8"?>
<sst xmlns="http://schemas.openxmlformats.org/spreadsheetml/2006/main" count="397" uniqueCount="368">
  <si>
    <t>PHYSICAL STOCK QTY</t>
  </si>
  <si>
    <t>WATER OUTLET - MIXER - LEVER</t>
  </si>
  <si>
    <t>WATER OUTLET - SINGLE - KNOB</t>
  </si>
  <si>
    <t>WATER OUTLET - SINGLE - LEVER</t>
  </si>
  <si>
    <t>6MM BACK PANEL - WHITE</t>
  </si>
  <si>
    <t>FC FAN</t>
  </si>
  <si>
    <t>AC FAN</t>
  </si>
  <si>
    <t>BUNSEN BNR + WR GZE</t>
  </si>
  <si>
    <t>BIRCH PLYWOOD</t>
  </si>
  <si>
    <t>FIRE PROOF CABLE</t>
  </si>
  <si>
    <t>DUST BIN</t>
  </si>
  <si>
    <t>5MM PP SHEET</t>
  </si>
  <si>
    <t>PRAEMETA HINGES</t>
  </si>
  <si>
    <t>2MM LIPPING - GREY</t>
  </si>
  <si>
    <t>0.5MM LIPPING - GREY</t>
  </si>
  <si>
    <t>BLUM SOFT CL TRIGR</t>
  </si>
  <si>
    <t>PHY TABLE LOCK</t>
  </si>
  <si>
    <t>50MM CABLE MGMT</t>
  </si>
  <si>
    <t>35MM CABLE MGMT</t>
  </si>
  <si>
    <t>12MM YELLOW TRESPA</t>
  </si>
  <si>
    <t>6MM YELLOW TRESPA</t>
  </si>
  <si>
    <t>HDPE "T" 110X110 MM</t>
  </si>
  <si>
    <t>HDPE "L" 110X110 MM</t>
  </si>
  <si>
    <t>HDPE "CAP" 110 MM</t>
  </si>
  <si>
    <t>GHALA TRADING</t>
  </si>
  <si>
    <t>BOLDARIN TUBE</t>
  </si>
  <si>
    <t>BOLDARIN 4 WAY</t>
  </si>
  <si>
    <t>BOLDARIN 2 WAY</t>
  </si>
  <si>
    <t>3V 0.5A POWER SUPPLY</t>
  </si>
  <si>
    <t>POMONA - RED</t>
  </si>
  <si>
    <t>GAS OUTLET - Y</t>
  </si>
  <si>
    <t>GAS OUTLET - T</t>
  </si>
  <si>
    <t>HAFELE  D HANDLE</t>
  </si>
  <si>
    <t>TEACHER CHAIR</t>
  </si>
  <si>
    <t>VISITOR CHAIR</t>
  </si>
  <si>
    <t>GRATNELLS SHALLOW</t>
  </si>
  <si>
    <t>GRATNELLS DEEP</t>
  </si>
  <si>
    <t>GRATNELLS EX DEEP</t>
  </si>
  <si>
    <t>GRATNELLS JUMBO</t>
  </si>
  <si>
    <t>HDPE "T" 110X40 MM</t>
  </si>
  <si>
    <t>6MM BACK PANEL - GREY</t>
  </si>
  <si>
    <t>CORIAN SINK</t>
  </si>
  <si>
    <t>TERMINATOR EXTENSION</t>
  </si>
  <si>
    <t>GREEN LED</t>
  </si>
  <si>
    <t>POMONA - BLACK</t>
  </si>
  <si>
    <t>PP SINK - SQUARE</t>
  </si>
  <si>
    <t>PP SINK - RECTANGLE</t>
  </si>
  <si>
    <t>STEENDAM BOTTLETRAP</t>
  </si>
  <si>
    <t>STEENDAM ELBOW</t>
  </si>
  <si>
    <t>STEENDAM "T"</t>
  </si>
  <si>
    <t>STEENDAM PEGBOARD</t>
  </si>
  <si>
    <t>110MM HDPE PIPE</t>
  </si>
  <si>
    <t>40MM HDPE PIPE</t>
  </si>
  <si>
    <t>FC SC500 FC400</t>
  </si>
  <si>
    <t>WHEELS FOR MOE STUDENT CHAIR</t>
  </si>
  <si>
    <t>FEET FOR MOE STUDENT CHAIR</t>
  </si>
  <si>
    <t>MOE STUDENT CHAIR (WITHOUT WHEELS)</t>
  </si>
  <si>
    <t>MOE FUME CUPBOARD</t>
  </si>
  <si>
    <t>WIRE GAUZE FOR BUNSEN BURNER</t>
  </si>
  <si>
    <t>TRIPOD STAND FOR BUNSEN BURNER</t>
  </si>
  <si>
    <t>ADJUSTABLE FEET</t>
  </si>
  <si>
    <t>MOE FRIDGE - BIOLOGY</t>
  </si>
  <si>
    <t>MOE FRIDGE - CHEMISTRY + GENERAL SCIENCE</t>
  </si>
  <si>
    <t>MOE FC CERAMIC WORKTOP</t>
  </si>
  <si>
    <t>HPL PLYWOOD - GREY - 20MM</t>
  </si>
  <si>
    <t>HPL PLYWOOD - WHITE - 20MM</t>
  </si>
  <si>
    <t>PANELS</t>
  </si>
  <si>
    <t>WORKTOPS</t>
  </si>
  <si>
    <t xml:space="preserve">IRONMONGERY </t>
  </si>
  <si>
    <t>SOLID SURFACE MATERIALS</t>
  </si>
  <si>
    <t>GAS OUTLETS &amp; RELATED FITTINGS</t>
  </si>
  <si>
    <t>LAB SINKS, DRAIN PIPES AND FITTINGS</t>
  </si>
  <si>
    <t>WATER OUTLETS, PPR PIPES &amp; FITTINGS</t>
  </si>
  <si>
    <t>EXHAUST FANS, PIPES AND FITTINGS</t>
  </si>
  <si>
    <t>LOCK - TALL CABINETS</t>
  </si>
  <si>
    <t>HINGE - 160 DEG</t>
  </si>
  <si>
    <t xml:space="preserve">HINGE - 90 DEG </t>
  </si>
  <si>
    <t xml:space="preserve">DRAW SLIDE </t>
  </si>
  <si>
    <t>CHAIRS</t>
  </si>
  <si>
    <t>PHYSICS LAB TABLE - SPECIFIC ITEMS</t>
  </si>
  <si>
    <t>FUME CUPBOARD AND RELATED SPECIFIC ITEMS</t>
  </si>
  <si>
    <t>CARPENTRY FACTORY SPECIFIC ITEMS</t>
  </si>
  <si>
    <t>HOT MELT GLUE</t>
  </si>
  <si>
    <t>SS WORKTOP - 1200MM FC</t>
  </si>
  <si>
    <t>SS WORKTOP - 1500MM FC</t>
  </si>
  <si>
    <t>BLACK SOCKETS WITH SWING COVER</t>
  </si>
  <si>
    <t>CHEMICAL STORAGE CABINET SPECIFIC MATERIALS</t>
  </si>
  <si>
    <t>ELECTRICAL SOCKETS AND FITTINGS</t>
  </si>
  <si>
    <t>LPG GAS PIPE - SCHEDULE 40</t>
  </si>
  <si>
    <t>LPG GAS PIPE - ELBOW</t>
  </si>
  <si>
    <t>LPG GAS PIPE - T</t>
  </si>
  <si>
    <t>LPG GAS PIPE - GATE VALVE</t>
  </si>
  <si>
    <t>ROCKER SWITCH - ALSO USED IN FC</t>
  </si>
  <si>
    <t>MAGNETIC CONTACTOR - SCHNEIDER</t>
  </si>
  <si>
    <t>MAGNETIC CONTACTOR - ABB</t>
  </si>
  <si>
    <t>MOE SPECIFIC ITEMS - NOT USED ELSEWHERE</t>
  </si>
  <si>
    <t>LAMINATE - DARK GREY - FOR PLINTH</t>
  </si>
  <si>
    <t>LAMINATE - FRESH GREEN</t>
  </si>
  <si>
    <t>LAMINATE - YELLOW</t>
  </si>
  <si>
    <t>LAMINATE - BLUE</t>
  </si>
  <si>
    <t>LAMINATE - ORANGE</t>
  </si>
  <si>
    <t>LUT DESERT SHEET</t>
  </si>
  <si>
    <t>MIKENO ADHESIVE FOR LUT DESERT</t>
  </si>
  <si>
    <t>ICE QUEEN SHEET</t>
  </si>
  <si>
    <t>ADHESIVE FOR ICE QUEEN</t>
  </si>
  <si>
    <t>GREY PVC PIPE - 3 INCH</t>
  </si>
  <si>
    <t>GREY PVC ELBOW - 3 INCH</t>
  </si>
  <si>
    <t>GREY PVC T - 3 INCH</t>
  </si>
  <si>
    <t>GREY BIRD COVER - 3 INCH</t>
  </si>
  <si>
    <t>ORANGE UPVC PIPE - 8 INCH</t>
  </si>
  <si>
    <t>ORANGE UPVC ELBOW - 8 INCH - 90 DEG</t>
  </si>
  <si>
    <t>ORANGE UPVC ELBOW - 8 INCH - 45 DEG</t>
  </si>
  <si>
    <t>"C" CLAMP FOR ORANGE UPVC PIPE</t>
  </si>
  <si>
    <t>WALL BRACKETS FOR FC FAN - LH</t>
  </si>
  <si>
    <t>WALL BRACKETS FOR FC FAN - RH</t>
  </si>
  <si>
    <t xml:space="preserve">INTERACTIVE PANEL </t>
  </si>
  <si>
    <t>DOCUMENT CAMERA</t>
  </si>
  <si>
    <t>REFRIGERATORS</t>
  </si>
  <si>
    <t>MISCELLANEOUS ITEMS</t>
  </si>
  <si>
    <t>ISOLATOR - 20A - SCHNEIDER</t>
  </si>
  <si>
    <t>KOPEN PIPE</t>
  </si>
  <si>
    <t>KOPEX GLAND</t>
  </si>
  <si>
    <t>KOPEX GLAND NUT</t>
  </si>
  <si>
    <t>GALVANOMETER</t>
  </si>
  <si>
    <t>VOLTMETER</t>
  </si>
  <si>
    <t>AMMETER</t>
  </si>
  <si>
    <t>MULTIMETER</t>
  </si>
  <si>
    <t>EMERGENCY PUSH BUTTON</t>
  </si>
  <si>
    <t>3 PIN PLUG - RUBBER</t>
  </si>
  <si>
    <t>FEMALE SPADE CONNECTOR</t>
  </si>
  <si>
    <t>RING CONNECTOR</t>
  </si>
  <si>
    <t>PIGGYBACK SPADE CONNECTOR</t>
  </si>
  <si>
    <t>AC/DC POWER SUPPLY</t>
  </si>
  <si>
    <t>BLACK SOCKET</t>
  </si>
  <si>
    <t>FRAME FOR BLACK SOCKET</t>
  </si>
  <si>
    <t>BEARING</t>
  </si>
  <si>
    <t>CAM SWITCH</t>
  </si>
  <si>
    <t>CIRCUIT BREAKER</t>
  </si>
  <si>
    <t>CUSTOMER NAME:</t>
  </si>
  <si>
    <t>PROJECT LOCATION:</t>
  </si>
  <si>
    <t>ORDER VALUE (EXCLUDING VAT)</t>
  </si>
  <si>
    <t>PLEASE CHOOSE YOUR PROJECT CATEGORY</t>
  </si>
  <si>
    <t>IF ONE OR MULTIPLE MOE LAB OPTIONS ARE SELECTED, FILL THE DATA AUTOMATICALLY AND PROCEED TO NEXT STEP OF SUBMISSION</t>
  </si>
  <si>
    <t>IF MANUAL OPTION IS CHOSEN, THE LIST FROM SHEET1 SHOULD COME UP ONE BY ONE IN GROUPS (MOE SPECIFIC ITEMS SHOULD NOT BE INCLUDED IN THIS)</t>
  </si>
  <si>
    <t xml:space="preserve">ITEM DESCRIPTION </t>
  </si>
  <si>
    <t>SHOULD BE ABLE TO SEE THE SUPPLIER PART NUMBER</t>
  </si>
  <si>
    <t>SHOULD BE ABLE TO SEE THE LANDED COST OF EACH ITEM</t>
  </si>
  <si>
    <t>SHOULD BE ABLE TO SEE THE FREE STOCK ITEMS ALONG WITH VALUE AND STOCK AGE IN DAYS</t>
  </si>
  <si>
    <t>SHOULD BE ABLE TO SEE THE SUPPLIER'S PRICE IN FOREIGN CURRENY AS WELL AS IN OMR (SORTED DATE WISE HISTORICALLY)</t>
  </si>
  <si>
    <t>SHOULD BE ABLE TO SEE THE EXCEPTIONS IN SALES MODULE LIKE STOCK BOOKED WITHOUT MAS APPROVAL / DRAWING APPROVAL / WITHOUT ADVANCE PYMT</t>
  </si>
  <si>
    <r>
      <t xml:space="preserve">ASK NEXT QUESTION: </t>
    </r>
    <r>
      <rPr>
        <b/>
        <sz val="11"/>
        <color theme="1"/>
        <rFont val="Calibri"/>
        <family val="2"/>
        <scheme val="minor"/>
      </rPr>
      <t>EDIT ONLY QTY</t>
    </r>
    <r>
      <rPr>
        <sz val="11"/>
        <color theme="1"/>
        <rFont val="Calibri"/>
        <family val="2"/>
        <scheme val="minor"/>
      </rPr>
      <t xml:space="preserve"> OR </t>
    </r>
    <r>
      <rPr>
        <b/>
        <sz val="11"/>
        <color theme="1"/>
        <rFont val="Calibri"/>
        <family val="2"/>
        <scheme val="minor"/>
      </rPr>
      <t>ADD/DELETE PARTS AS WELL AS QTY</t>
    </r>
  </si>
  <si>
    <t>ALSO THE WORK DONE ON TRAINING SHOULD NOT AFFECT THE MASTER DATA BASE</t>
  </si>
  <si>
    <t>(YES)      (NO)     (PARTIAL REPLICA AND I WANT TO EDIT FURTHER)</t>
  </si>
  <si>
    <t>(MOE)     (NON MOE)</t>
  </si>
  <si>
    <r>
      <t xml:space="preserve"> (ENTER THE PREVIOUS PROJECT NUMBER) EF</t>
    </r>
    <r>
      <rPr>
        <sz val="11"/>
        <color theme="1"/>
        <rFont val="Calibri"/>
        <family val="2"/>
        <scheme val="minor"/>
      </rPr>
      <t xml:space="preserve"> </t>
    </r>
    <r>
      <rPr>
        <sz val="11"/>
        <color rgb="FF00B0F0"/>
        <rFont val="Calibri"/>
        <family val="2"/>
        <scheme val="minor"/>
      </rPr>
      <t>ZZZZ</t>
    </r>
  </si>
  <si>
    <t>IS YOUR PROJECT AN EXACT REPLICA OF A PREVIOUSLY UPDATED PROJECT</t>
  </si>
  <si>
    <t>IN CASE OF YES, THE EDIT OPTION SHOULD BE DISABLED</t>
  </si>
  <si>
    <t>IN CASE OF PARTIAL REPLICA, THE EDIT OPTION SHOULD BE ENABLED</t>
  </si>
  <si>
    <t>IN CASE OF NO, THE FOLLOWING PROCESS SHOULD START</t>
  </si>
  <si>
    <t>IF MOE PROJECT IS SELECTED UNDER PROJECT CATEGORY, ASK TO SELECT FROM THE FOLLOWING OPTIONS</t>
  </si>
  <si>
    <t>(STANDARD MOE LAB)     (NON STANDARD MOE LAB)</t>
  </si>
  <si>
    <t>IF STANDARD MOE LAB IS SELECTED, GIVE THE FOLLOWING OPTIONS TO CHOOSE FROM (MULTIPLE SELECTION SHOULD BE POSSIBLE)</t>
  </si>
  <si>
    <t xml:space="preserve">(PHYSICS)     (CHEMISTRY)     (BIOLOGY)     (GENERAL SCIENCE SQUARE)     (GENERAL SCIENCE TRIANGLE)     </t>
  </si>
  <si>
    <t>(UPLOAD THE NX DRAWING)     (UPLOAD NX PART LIST)     (EDIT AN EXISTING TEMPLATE)</t>
  </si>
  <si>
    <t>AFTER EDITING, PROCEED TO NEXT STEP OF SUBMISSION</t>
  </si>
  <si>
    <t xml:space="preserve">(PHYSICS - NON STD)     (CHEMISTRY - NON STD)     (BIOLOGY - NON STD)     (GENERAL SCIENCE SQUARE - NON STD)     (GENERAL SCIENCE TRIANGLE - NON STD)     </t>
  </si>
  <si>
    <t>IF "NON STANDARD MOE LAB" IS SELECTED, IT SHOULD GIVE THE FOLLOWING OPTIONS (MULTIPLE SELECTION SHOULD BE POSSIBLE)</t>
  </si>
  <si>
    <t xml:space="preserve">BEFORE OR AFTER FINAL SUBMISSION, THE SYSTEM SHOULD GIVE A WARNING MESSAGE, </t>
  </si>
  <si>
    <r>
      <rPr>
        <b/>
        <sz val="11"/>
        <color theme="7"/>
        <rFont val="Calibri"/>
        <family val="2"/>
        <scheme val="minor"/>
      </rPr>
      <t>WARNING 1:</t>
    </r>
    <r>
      <rPr>
        <sz val="11"/>
        <color theme="1"/>
        <rFont val="Calibri"/>
        <family val="2"/>
        <scheme val="minor"/>
      </rPr>
      <t xml:space="preserve"> PLEASE NOTE THE FOLLOWING MATERIALS ARE NOT AVAILABLE IN STOCK, BUT THERE IS PENDING ORDER FOR THESE ITEMS</t>
    </r>
  </si>
  <si>
    <r>
      <rPr>
        <b/>
        <sz val="11"/>
        <color rgb="FFFF0000"/>
        <rFont val="Calibri"/>
        <family val="2"/>
        <scheme val="minor"/>
      </rPr>
      <t>CRITICAL ALERT 2:</t>
    </r>
    <r>
      <rPr>
        <sz val="11"/>
        <color theme="1"/>
        <rFont val="Calibri"/>
        <family val="2"/>
        <scheme val="minor"/>
      </rPr>
      <t xml:space="preserve"> PLEASE NOTE THE FOLLOWING MATERIALS ARE NOT AVAILABLE IN STOCK AND THERE ARE NO PENDING ORDERS FOR THESE ITEMS</t>
    </r>
  </si>
  <si>
    <t>(ESSENTIAL SERIES)     (PREMIUM SERIES)    (CLASSIC SERIES)     (NON STANDARD)</t>
  </si>
  <si>
    <t>ONCE THE SERIES IS SELECTED, IT SHOULD ASK TO SELECT FROM THE FOLLOWING OPTIONS</t>
  </si>
  <si>
    <t>(UPLOAD A NX PART LIST)     (UPLOAD A NX DRAWING)      (UPLOAD A BOQ IN EXCEL FORMAT)         (ENTER THE INFORMATION MANUALLY)</t>
  </si>
  <si>
    <t>IF TRAINING OPTION IS CHOSEN, OPTION TO EDIT EXISTING ORDER SHOULD BE DISABLED</t>
  </si>
  <si>
    <t>(NEW ORDER)     (EDIT AN EXISTING ORDER)     (TRAINING)     (QUIT)</t>
  </si>
  <si>
    <t>WELCOME TO SALES TEAM MODULE
PLEASE CHOOSE FROM THE FOLLOWING</t>
  </si>
  <si>
    <t>IF"EDIT AN EXISTING ORDER" IS SELECTED, ASK THE FOLLOWING, "REASON FOR EDITING"</t>
  </si>
  <si>
    <t>(ADDITIONAL ORDER FROM CUSTOMER)     (ESTIMATION ERROR)     (FREE OF COST TO CUSTOMER)     (MGMT DECISION)     (OTHERS)</t>
  </si>
  <si>
    <t>IF "OTHERS" IS SELECTED, ASK THE FOLLOWING "GIVE JUSTIFICATION"</t>
  </si>
  <si>
    <r>
      <t xml:space="preserve">IF OPTION IS CHOSEN AS </t>
    </r>
    <r>
      <rPr>
        <b/>
        <sz val="11"/>
        <color theme="1"/>
        <rFont val="Calibri"/>
        <family val="2"/>
        <scheme val="minor"/>
      </rPr>
      <t>"NEW ORDER"</t>
    </r>
    <r>
      <rPr>
        <sz val="11"/>
        <color theme="1"/>
        <rFont val="Calibri"/>
        <family val="2"/>
        <scheme val="minor"/>
      </rPr>
      <t xml:space="preserve"> ASK THE FOLLOWING</t>
    </r>
  </si>
  <si>
    <r>
      <rPr>
        <b/>
        <sz val="11"/>
        <color theme="1"/>
        <rFont val="Calibri"/>
        <family val="2"/>
        <scheme val="minor"/>
      </rPr>
      <t>PROJECT NUMBER: EF</t>
    </r>
    <r>
      <rPr>
        <sz val="11"/>
        <color theme="1"/>
        <rFont val="Calibri"/>
        <family val="2"/>
        <scheme val="minor"/>
      </rPr>
      <t xml:space="preserve"> ZZZZ </t>
    </r>
  </si>
  <si>
    <r>
      <t xml:space="preserve">(IF THE PROJECT NUMBER IS EXISITING IN THE SYSTEM, SYSTEM SHOULD GIVE AN ALERT AND SHOULD NOT PROCEED TO NEXT STEP) INSTEAD IT CAN ASK </t>
    </r>
    <r>
      <rPr>
        <b/>
        <sz val="11"/>
        <color theme="1"/>
        <rFont val="Calibri"/>
        <family val="2"/>
        <scheme val="minor"/>
      </rPr>
      <t>"DO YOU WANT TO EDIT THIS ORDER"</t>
    </r>
  </si>
  <si>
    <t>IF PROJECT NUMBER IS NOT IN THE EXISTING DATA BASE, IT SHOULD PROCEED TO THE NEXT STEPS</t>
  </si>
  <si>
    <t>MATERIAL DELIVERY REQUIRED BY: (YEAR  MONTH  DATE)</t>
  </si>
  <si>
    <t>PROJECT COMPLETION DATE: (YEAR  MONTH  DATE)</t>
  </si>
  <si>
    <r>
      <t>ADVANCE PAYMENT RECEIVED: (</t>
    </r>
    <r>
      <rPr>
        <b/>
        <sz val="11"/>
        <color theme="1"/>
        <rFont val="Calibri"/>
        <family val="2"/>
        <scheme val="minor"/>
      </rPr>
      <t>YES)     (NO)     (NO ADVANCE PYMT)</t>
    </r>
    <r>
      <rPr>
        <sz val="11"/>
        <color theme="1"/>
        <rFont val="Calibri"/>
        <family val="2"/>
        <scheme val="minor"/>
      </rPr>
      <t xml:space="preserve"> (THIS INFORMATION SHOULD BE ABLE TO CAPTURE IN MGMT MODULE AS PROJECTS BOOKED WITHOUT RECEIVING ADVANCE PYMT AND SHOULD BE EDITABLE TO CORRECT TO "YES" ONCE THE ADVANCE PAYMENT IS RECEIVED</t>
    </r>
  </si>
  <si>
    <r>
      <t>PRODUCTION DRAWINGS ISSUED TO CARPENTRY FACTORY:</t>
    </r>
    <r>
      <rPr>
        <b/>
        <sz val="11"/>
        <color theme="1"/>
        <rFont val="Calibri"/>
        <family val="2"/>
        <scheme val="minor"/>
      </rPr>
      <t xml:space="preserve"> (YES)     (NO)     (NOT APPLICABLE)</t>
    </r>
    <r>
      <rPr>
        <sz val="11"/>
        <color theme="1"/>
        <rFont val="Calibri"/>
        <family val="2"/>
        <scheme val="minor"/>
      </rPr>
      <t>, IF YES, ADD DATE, IF NO, JUSTIFICATION FOR BOOKING ORDER WITHOUT RELEASING SHOP DRAWINGS</t>
    </r>
  </si>
  <si>
    <r>
      <t xml:space="preserve">PRODUCTION DRAWINGS ISSUED TO STEEL FACTORY: </t>
    </r>
    <r>
      <rPr>
        <b/>
        <sz val="11"/>
        <color theme="1"/>
        <rFont val="Calibri"/>
        <family val="2"/>
        <scheme val="minor"/>
      </rPr>
      <t>(YES)     (NO)     (NOT APPLICABLE)</t>
    </r>
    <r>
      <rPr>
        <sz val="11"/>
        <color theme="1"/>
        <rFont val="Calibri"/>
        <family val="2"/>
        <scheme val="minor"/>
      </rPr>
      <t>,  IF YES, ADD DATE, IF NO, JUSTIFICATION FOR BOOKING ORDER WITHOUT RELEASING SHOP DRAWINGS</t>
    </r>
  </si>
  <si>
    <t>IF "YES" OPTION (OR) "PARTIAL REPLICA" OPTION IS CHOSEN</t>
  </si>
  <si>
    <t>IF MOE PROJECT - SKIP THE FOLLOWING STEPS, IF NON MOE PROJECT, ASK TO SELECT FROM THE FOLLOWING OPTIONS  (SHOULD BE POSSIBLE TO SELECT MULTIPLE SERIES)</t>
  </si>
  <si>
    <t>SHOULD BE ABLE TO SEE THE PENDING STOCK ORDER DETAILS ALONG WITH VALUE, SHOULD BE ABLE TO SORT BY SUPPLIER</t>
  </si>
  <si>
    <t>SHOULD BE ABLE TO SEE THE PARTS OF A PARTICULAR SUPPLIER EVEN IF THOSE PARTS ARE ZERO STOCK</t>
  </si>
  <si>
    <t>SHOULD BE ABLE TO SEE AND SORT THE PHYSICAL STOCK BASED ON SUPPLIER / PART GROUP / APPLICATION</t>
  </si>
  <si>
    <t>SHOULD BE ABLE TO SEE THE SUPPLIER PART NUMBER (ONLY ONE SUPPLIER AT A TIME) SHOULD NOT HAVE ACCESS TO DOWNLOAD THE ENTIRE DATA BASE</t>
  </si>
  <si>
    <t>SHOULD BE ABLE TO CREATE A NEW PART NUMBER AND PART DESCRIPTION (IF REQUIRED)</t>
  </si>
  <si>
    <t>SHOULD GET SYSTEM ALERT IF SIMILAR PART IS ALREADY EXISTING</t>
  </si>
  <si>
    <t xml:space="preserve">IN NORMAL CIRCUMSTANCES, SHOULD BE ABLE TO ADD THE STOCK QTY AND THE DATE OF RECEIPT OF STOCK </t>
  </si>
  <si>
    <t>SHOULBE BE ABLE TO VIEW THE PHYSICAL STOCK LIST, STOCK BOOKED FOR A PARTICULAR PROJECT AND THE PENDING STOCK ORDERS LIST</t>
  </si>
  <si>
    <t>PENDING ORDER QTY</t>
  </si>
  <si>
    <t>NEED TO ORDER IMMEDIATELY</t>
  </si>
  <si>
    <t>PLANNED FREE STOCK QTY</t>
  </si>
  <si>
    <t>RESERVED FOR PROJECTS STOCK QTY</t>
  </si>
  <si>
    <t>ACTUAL FREE STOCK QTY</t>
  </si>
  <si>
    <t>ALERT</t>
  </si>
  <si>
    <t>SAFETY EQUIPMENT</t>
  </si>
  <si>
    <t>EMERGENCY EYEWASH BOTTLE</t>
  </si>
  <si>
    <t>EMERGENCY SHOWER - WALL MOUNTED</t>
  </si>
  <si>
    <t>EMERGENCY SHOWER - FLOOR MOUNTED</t>
  </si>
  <si>
    <t>FIRE EXTINGUISHER - CO2 - 2KG</t>
  </si>
  <si>
    <t>FIRE EXTINGUISHER - BALL</t>
  </si>
  <si>
    <t>GRATNELL TROLLEYS</t>
  </si>
  <si>
    <t>SINGLE COLUMN TROLLEY</t>
  </si>
  <si>
    <t>DOUBLE COLUMN TROLLEY</t>
  </si>
  <si>
    <t>TRIPLE COLUMN TROLLEY</t>
  </si>
  <si>
    <t>LAPTOP</t>
  </si>
  <si>
    <t>DESKTOP</t>
  </si>
  <si>
    <t>VENETIAN BLIND</t>
  </si>
  <si>
    <t>PP SINK OVERFLOW</t>
  </si>
  <si>
    <t>PP SINK DRAIN PLUG</t>
  </si>
  <si>
    <t>PP SINK WASTE</t>
  </si>
  <si>
    <t>LPG GAS CYLINDER</t>
  </si>
  <si>
    <t>GLASS</t>
  </si>
  <si>
    <t>GLASS FOR TG90</t>
  </si>
  <si>
    <t>GLASS FOR SG90</t>
  </si>
  <si>
    <t>GLASS FOR REAGENT RACK - 1500MM</t>
  </si>
  <si>
    <t>GLASS FOR REAGENT RACK - 1200MM</t>
  </si>
  <si>
    <t>GLASS FOR REAGENT RACK - 900MM</t>
  </si>
  <si>
    <t>GLASS FOR REAGENT RACK - 1800MM</t>
  </si>
  <si>
    <t>GLASS FOR REAGENT RACK - 1000MM</t>
  </si>
  <si>
    <t>ROTATING WHITE BOARD</t>
  </si>
  <si>
    <t>FIXED WHITE BOARD</t>
  </si>
  <si>
    <t>FIRST AID BOX - 50 PERSONS</t>
  </si>
  <si>
    <t>FIRST AID BOX - 25 PERSONS</t>
  </si>
  <si>
    <t>FIRE BLANKET</t>
  </si>
  <si>
    <t>MOE ONLY</t>
  </si>
  <si>
    <t>TWIN ELECTRICAL SOCKET - IP66</t>
  </si>
  <si>
    <t>TWIN ELECTRICAL SOCKETS - STANDARD - SCHNEIDER</t>
  </si>
  <si>
    <t>BLACK CABLE</t>
  </si>
  <si>
    <t>TISSUE DISPENSER</t>
  </si>
  <si>
    <t>HAND SANITISER</t>
  </si>
  <si>
    <t>CASTOR WHEELS FOR GRATNELL TROLLEYS</t>
  </si>
  <si>
    <t>CASTOR WHEELS FOR MOBILE SERIES CABINETS</t>
  </si>
  <si>
    <t>LADDER</t>
  </si>
  <si>
    <t xml:space="preserve">GLASS FOR RECESSED WALL CABINET </t>
  </si>
  <si>
    <t>50MM PPR PIPE</t>
  </si>
  <si>
    <t>50MM PPR GATE VALVE</t>
  </si>
  <si>
    <t>50MM PPR ELBOW</t>
  </si>
  <si>
    <t>50MM PPR TEE</t>
  </si>
  <si>
    <t>50MM PPR 45 DEG ELBOW</t>
  </si>
  <si>
    <t>50MM/20MM REDUCER TEE</t>
  </si>
  <si>
    <t>20MM PPR PIPE</t>
  </si>
  <si>
    <t>20MM PPR ELBOW</t>
  </si>
  <si>
    <t>20MM PPR TEE</t>
  </si>
  <si>
    <t>20MM PPR SOCKET</t>
  </si>
  <si>
    <t>20MM PPR MALE SOCKET WITH THREAD</t>
  </si>
  <si>
    <t>20MM PPR FEMALE SOCKET WITH THREAD</t>
  </si>
  <si>
    <t>20MM PPR UNION</t>
  </si>
  <si>
    <t>50MM PPR SOCKET</t>
  </si>
  <si>
    <t>50MM PPR UNION</t>
  </si>
  <si>
    <t>GI CLAMP FOR 50MM PPR PIPE</t>
  </si>
  <si>
    <t>SPECIAL SCREWS FOR BOOKSHELF FIXING</t>
  </si>
  <si>
    <t>70MM GI CLAMP</t>
  </si>
  <si>
    <t>EYE WASH BOX - J SCREWS</t>
  </si>
  <si>
    <t>EYE WASH BOX  - MIRROR</t>
  </si>
  <si>
    <t>EYE WASH BOX - INSTRUCTION STICKERS</t>
  </si>
  <si>
    <t xml:space="preserve">20MM GI CLAMP FOR KOPEX PIPE </t>
  </si>
  <si>
    <t>LOCK - 4 DRAW CENTRAL LOCK</t>
  </si>
  <si>
    <t>LOCK - 3 DRAW CENTRAL LOCK</t>
  </si>
  <si>
    <t>LABORATORY WORKTOP PANEL</t>
  </si>
  <si>
    <t>OPS FOR INTERACTIVE PANEL</t>
  </si>
  <si>
    <t>SS NUTS, BOLTS &amp; WASHERS - VARIOUS TYPES</t>
  </si>
  <si>
    <t>RIVET NUT - 10MM</t>
  </si>
  <si>
    <t>SHOULD NOT HAVE CENTRAL ACCESS TO SUPPLIER PART NUMBERS</t>
  </si>
  <si>
    <t>SHOULD BE ABLE TO GENERATE A BOQ TO SEND TO THE RESPECTIVE SUPPLIER FOR A QUOTE</t>
  </si>
  <si>
    <r>
      <t xml:space="preserve">MAS APPROVED: </t>
    </r>
    <r>
      <rPr>
        <b/>
        <sz val="11"/>
        <color theme="1"/>
        <rFont val="Calibri"/>
        <family val="2"/>
        <scheme val="minor"/>
      </rPr>
      <t>(YES/NO)</t>
    </r>
    <r>
      <rPr>
        <sz val="11"/>
        <color theme="1"/>
        <rFont val="Calibri"/>
        <family val="2"/>
        <scheme val="minor"/>
      </rPr>
      <t xml:space="preserve"> IF YES: MAS APPROVAL DATE, IF NO: JUSTIFICATION FOR BOOKING ORDER WITHOUT MAS APPROVAL      </t>
    </r>
    <r>
      <rPr>
        <b/>
        <sz val="11"/>
        <color theme="1"/>
        <rFont val="Calibri"/>
        <family val="2"/>
        <scheme val="minor"/>
      </rPr>
      <t>(UPLOAD THE APPROVED MAS PDF)</t>
    </r>
  </si>
  <si>
    <r>
      <t xml:space="preserve">DRAWINGS APPROVED: </t>
    </r>
    <r>
      <rPr>
        <b/>
        <sz val="11"/>
        <color theme="1"/>
        <rFont val="Calibri"/>
        <family val="2"/>
        <scheme val="minor"/>
      </rPr>
      <t>(YES/NO)</t>
    </r>
    <r>
      <rPr>
        <sz val="11"/>
        <color theme="1"/>
        <rFont val="Calibri"/>
        <family val="2"/>
        <scheme val="minor"/>
      </rPr>
      <t xml:space="preserve"> IF YES: DRAWINGS APPROVAL DATE, IF NO: JUSTIFICATION FOR BOOKING ORDER WITHOUT DRAWING APPROVAL  </t>
    </r>
    <r>
      <rPr>
        <b/>
        <sz val="11"/>
        <color theme="1"/>
        <rFont val="Calibri"/>
        <family val="2"/>
        <scheme val="minor"/>
      </rPr>
      <t xml:space="preserve"> (UPLOAD THE APPROVED DRAWING PDF)</t>
    </r>
  </si>
  <si>
    <t>STOCK BOOKING MODULE</t>
  </si>
  <si>
    <t>LANDED COST - ESTIMATE</t>
  </si>
  <si>
    <t>PURPOSE: TO ARRIVE AT STANDARD PRICE LIST FOR THE PURPOSE OF PREPARING CUSTOMER QUOTES</t>
  </si>
  <si>
    <t>THE FOLLOWING FACTORS AFFECT THE PRICE OF AN ITEM</t>
  </si>
  <si>
    <t>1) SUPPLIER PRICE INCREASE</t>
  </si>
  <si>
    <t>WHO NORMALLY PREPARES: SEBASTIAN</t>
  </si>
  <si>
    <r>
      <t xml:space="preserve">2) EURO TO OMR CURRENCY EXCHANGE RATE FLUCTUATION - </t>
    </r>
    <r>
      <rPr>
        <b/>
        <sz val="11"/>
        <color rgb="FFFF0000"/>
        <rFont val="Calibri"/>
        <family val="2"/>
        <scheme val="minor"/>
      </rPr>
      <t>VVIMP</t>
    </r>
  </si>
  <si>
    <t xml:space="preserve">NOTE: ONCE THE SUPPLIER INCREASED THE PRICE, THEY WILL NEVER REDUCE THE PRICE EVEN IF THE REASON FOR PRICE INCREASE IS RESOLVED </t>
  </si>
  <si>
    <t>SUPPLIERS INCREASE THE PRICES WHENEVER THERE IS  GEO POLITICAL TENSION - FOR EXAMPLE, UKRAINE RUSSIA WAR, US TARRIFS</t>
  </si>
  <si>
    <r>
      <t xml:space="preserve">SUPPLIERS INCREASE THE PRICES AT REGULAR INTERVALS DUE TO INCREASE IN PRICE OF RAW MATERIALS, INFLATION. EXAMPLE: </t>
    </r>
    <r>
      <rPr>
        <b/>
        <sz val="11"/>
        <color rgb="FFFF0000"/>
        <rFont val="Calibri"/>
        <family val="2"/>
        <scheme val="minor"/>
      </rPr>
      <t>MOST SUPPLIERS INCREASE PRICES ANNUALLY BETWEEN 3 TO 5% IN GENERAL</t>
    </r>
  </si>
  <si>
    <t>SUPPLIER INCREASE THE PRICES WHENEVER THERE IS CURRENCY EXCHANGE RATE FLUCTUATIONS IN THEIR HOME COUNTRY, EXAMPLE: CHINA USD vs YEN, INDIA USD vs INR</t>
  </si>
  <si>
    <t>4) WHEN WE INCREASE THE ORDER QUANTITY, WE GET TWO BENEFITS. I) WE CAN NEGOTIATE A BETTER PRICE FROM THE SUPPLIER II) WE CAN OPTIMISE THE FREIGHT CHARGES</t>
  </si>
  <si>
    <t>WHAT IS THE REFERENCE SUPPLIER PRICE: 
NORMALLY THE LATEST SUPPLIER ORDER PRICE IN CASE OF EXISTING SUPPLIER.
IN CASE OF NEW SUPPLIER OR NEW PRODUCT, THE SUPPLIER QUOTE WILL BE THE INPUT</t>
  </si>
  <si>
    <t>CURRENCY EXCHANGE RATE: IN CASE OF EURO, 5% MORE THAN THE CURRENT EXCHANGE RATE.
FOR EXAMPLE, CURRENT EXCHANGE RATE IS 0.43, WE NEED TO CONSIDER 0.43X1.05 = 0.4515</t>
  </si>
  <si>
    <t>WHAT IS THE REFERENCE SHIPPING COST:
THE LATEST SHIPPING COST + 10% INCREASE</t>
  </si>
  <si>
    <t>LANDED COST - ACTUAL</t>
  </si>
  <si>
    <t>PURPOSE: TO ARRIVE AT STOCK PRICE WHICH WILL GIVE THE FINAL PROJECT COST</t>
  </si>
  <si>
    <t>WHO NORMALLY PREPARES: ACCOUNTANT</t>
  </si>
  <si>
    <t>1) SUPPLIER INVOICE</t>
  </si>
  <si>
    <t xml:space="preserve">2) BANK TRANSFER RECEIPT TO GET THE EXACT CURRENCY EXCHANGE RATE </t>
  </si>
  <si>
    <t>3) SHIPPING COMPANY INVOICE</t>
  </si>
  <si>
    <t>4) OMAN CUSTOMS DOCUMENT CALLED "BAYAN"</t>
  </si>
  <si>
    <t>INPUTS REQUIRED</t>
  </si>
  <si>
    <t>WHEN IT IS PREPARED: AFTER PHYSICAL RECEIPT OF MATERIALS</t>
  </si>
  <si>
    <t>LATER THE STOCK SHOULD BE "STOCK OUT" "DELIVERY OUT"ALONG WITH A DELIVERY ORDER AS PER CUSTOMER UNDERSTANDABLE FORMAT</t>
  </si>
  <si>
    <t>THE STOCK SHOULD BE FIRST RESERVED</t>
  </si>
  <si>
    <t>LC ESTIMATE</t>
  </si>
  <si>
    <t>LC ACTUAL (LATEST)</t>
  </si>
  <si>
    <r>
      <t xml:space="preserve">3) SHIPPING COSTS CHANGE RAPIDLY; COURIER LIKE DHL/FEDEX, AIR FREIGHT AND SEA FREIGHT - </t>
    </r>
    <r>
      <rPr>
        <b/>
        <sz val="11"/>
        <color rgb="FFFF0000"/>
        <rFont val="Calibri"/>
        <family val="2"/>
        <scheme val="minor"/>
      </rPr>
      <t>VVIMP</t>
    </r>
  </si>
  <si>
    <t>IDEALLY SHOULD BE REVIEWED AND UPDATED ONCE IN 3 MONTHS (ATLEAST EVERY 6 MONTHS)</t>
  </si>
  <si>
    <t>EX WORKS MATERIAL COST (FOREIGN CURRENCY)</t>
  </si>
  <si>
    <t>PACKING CHARGES (FOREIGN CURRENCY)</t>
  </si>
  <si>
    <t>DOCUMENTATION CHARGES (FOREIGN CURRENCY)</t>
  </si>
  <si>
    <t>ANY OTHER CHARGES (FOREIGN CURRENCY)</t>
  </si>
  <si>
    <t>EMPTY CONTAINER WEIGHING CHARGE</t>
  </si>
  <si>
    <t>CONTAINER LOADING FEE</t>
  </si>
  <si>
    <t>LOADED CONTAINER WEIGHING CHARGE</t>
  </si>
  <si>
    <t>TOTAL SUPPLIER PRICE (FOREIGN CURRENCY)</t>
  </si>
  <si>
    <t>FORMULA</t>
  </si>
  <si>
    <t>ADVANCE PAYMENT VALUE (FOREIGN CURRENCY)</t>
  </si>
  <si>
    <t>100% advance</t>
  </si>
  <si>
    <t>BANK EXCHANGE RATE - ADVANCE PAYMENT</t>
  </si>
  <si>
    <t>ADVANCE PAYMENT VALUE (OMR)</t>
  </si>
  <si>
    <t>BALANCE PAYMENT VALUE (FOREIGN CURRENCY)</t>
  </si>
  <si>
    <t>BANK EXCHANGE RATE - BALANCE PAYMENT</t>
  </si>
  <si>
    <t>BALANCE PAYMENT VALUE (OMR)</t>
  </si>
  <si>
    <t>TOTAL SUPPLIER PRICE (OMR)</t>
  </si>
  <si>
    <t>BANK MUSCAT CHARGE - ADVANCE PAYMENT</t>
  </si>
  <si>
    <t>BANK MUSCAT CHARGE - BALANCE PAYMENT</t>
  </si>
  <si>
    <t xml:space="preserve">FREIGHT CHARGE </t>
  </si>
  <si>
    <t>FRONTLINE QUOTE DT 27-MAR-25</t>
  </si>
  <si>
    <t>CUSTOMS DUTY (OMR)</t>
  </si>
  <si>
    <t>OMAN CUSTOMS BOE CHARGE (OMR)</t>
  </si>
  <si>
    <t>FIXED AMOUNT</t>
  </si>
  <si>
    <t>ROP CUSTOMS INSPECTION CHARGE</t>
  </si>
  <si>
    <t>UNLOADING CHARGE @ MUSCAT STORES</t>
  </si>
  <si>
    <t>FORK LIFT TO UNLOAD FROM CONTAINER</t>
  </si>
  <si>
    <t>6 LABOURS @ 10 RIALS TO SHIFT THE UNLOADED PALLET MANUALLY</t>
  </si>
  <si>
    <t>LOADING CHARGE @ MUSCAT STORES AT THE TIME OF CUSTOMER DELIVERY</t>
  </si>
  <si>
    <t>MANUAL LOADING COST CONSIDERED IN CUSTOMER QUOTE COSTING</t>
  </si>
  <si>
    <t>don’t delete</t>
  </si>
  <si>
    <t>FACTOR</t>
  </si>
  <si>
    <t>PRICE IN EURO</t>
  </si>
  <si>
    <t>QTY</t>
  </si>
  <si>
    <t>TOTAL IN EURO</t>
  </si>
  <si>
    <t>% FACTOR</t>
  </si>
  <si>
    <t>PRICE IN OMR</t>
  </si>
  <si>
    <t>TOTAL IN OMR</t>
  </si>
  <si>
    <t>1630 x 3660 x 18mm</t>
  </si>
  <si>
    <t>TOTAL FOR 56 SHEETS</t>
  </si>
  <si>
    <t>1 SHEET</t>
  </si>
  <si>
    <t>1 sqm</t>
  </si>
  <si>
    <t>750mm</t>
  </si>
  <si>
    <t>900mm</t>
  </si>
  <si>
    <t>1200mm</t>
  </si>
  <si>
    <t>SKIRTING, 60MM</t>
  </si>
  <si>
    <t>SKIRTING, 100MM</t>
  </si>
  <si>
    <t>810mm</t>
  </si>
  <si>
    <t>(INVOICE VALUE + FREIGHT VALUE)* INSURANCE(1%)*Customs (5%)</t>
  </si>
  <si>
    <t>LC - Actual HISTORY DATA</t>
  </si>
  <si>
    <t>input box</t>
  </si>
  <si>
    <t xml:space="preserve">summary from project </t>
  </si>
  <si>
    <t>items ordered but not received</t>
  </si>
  <si>
    <t>if actual free stock &lt; (planned free stock+pernding ordr qty)</t>
  </si>
  <si>
    <t>Refer to "EF 1059 - R0-2 - MINISTRY OF AGRICULTURE, FISHERIES WEALTH AND WATER RESOURCES - OPTION 2 - QUOTE - DATED 31.05.2025" word file</t>
  </si>
  <si>
    <t>Discuss with CDC team</t>
  </si>
  <si>
    <t>Email alert to management and stock to alert the team to purchase the items</t>
  </si>
  <si>
    <t>see  "DELIVERY ORDER NO 379 - AGS SEEB - PHYSICS LAB  - LAB FURNITURE PHASE 1 - 01.03.2026"</t>
  </si>
  <si>
    <t>See "TAX INVOICE NO 260101 - EF 808 - 35647.500 OMR - AL YAQEEN - MOE ADAM"</t>
  </si>
  <si>
    <t>see "EF 917 - PENICILLIN - COMPLETION CERTIFICATE - LAB FURNITURE"</t>
  </si>
  <si>
    <t>ITEM</t>
  </si>
  <si>
    <t>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</si>
</sst>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EUR]\ #,##0.00"/>
    <numFmt numFmtId="165" formatCode="[$OMR]\ #,##0.000"/>
    <numFmt numFmtId="166" formatCode="0.000"/>
    <numFmt numFmtId="167" formatCode="[$OMR]\ #,##0.00"/>
  </numFmts>
  <fonts count="18" x14ac:knownFonts="1">
    <font>
      <sz val="11"/>
      <color theme="1"/>
      <name val="Calibri"/>
      <family val="2"/>
      <scheme val="minor"/>
    </font>
    <font>
      <b/>
      <sz val="11"/>
      <color theme="1"/>
      <name val="Calibri"/>
      <family val="2"/>
      <scheme val="minor"/>
    </font>
    <font>
      <sz val="11"/>
      <color rgb="FF00B0F0"/>
      <name val="Calibri"/>
      <family val="2"/>
      <scheme val="minor"/>
    </font>
    <font>
      <b/>
      <sz val="11"/>
      <color theme="7"/>
      <name val="Calibri"/>
      <family val="2"/>
      <scheme val="minor"/>
    </font>
    <font>
      <b/>
      <sz val="11"/>
      <color rgb="FFFF0000"/>
      <name val="Calibri"/>
      <family val="2"/>
      <scheme val="minor"/>
    </font>
    <font>
      <sz val="12"/>
      <color theme="1"/>
      <name val="Calibri"/>
      <family val="2"/>
      <scheme val="minor"/>
    </font>
    <font>
      <sz val="12"/>
      <color rgb="FF00B050"/>
      <name val="Calibri"/>
      <family val="2"/>
      <scheme val="minor"/>
    </font>
    <font>
      <b/>
      <sz val="14"/>
      <color rgb="FF0070C0"/>
      <name val="Calibri"/>
      <family val="2"/>
      <scheme val="minor"/>
    </font>
    <font>
      <sz val="12"/>
      <color rgb="FF0070C0"/>
      <name val="Calibri"/>
      <family val="2"/>
      <scheme val="minor"/>
    </font>
    <font>
      <b/>
      <sz val="12"/>
      <color theme="1"/>
      <name val="Calibri"/>
      <family val="2"/>
      <scheme val="minor"/>
    </font>
    <font>
      <b/>
      <sz val="11"/>
      <color rgb="FF00B050"/>
      <name val="Calibri"/>
      <family val="2"/>
      <scheme val="minor"/>
    </font>
    <font>
      <b/>
      <sz val="16"/>
      <color theme="1"/>
      <name val="Calibri"/>
      <family val="2"/>
      <scheme val="minor"/>
    </font>
    <font>
      <sz val="12"/>
      <name val="Calibri"/>
      <family val="2"/>
      <scheme val="minor"/>
    </font>
    <font>
      <sz val="12"/>
      <color rgb="FFFF0000"/>
      <name val="Calibri"/>
      <family val="2"/>
      <scheme val="minor"/>
    </font>
    <font>
      <b/>
      <sz val="12"/>
      <color rgb="FF00B050"/>
      <name val="Calibri"/>
      <family val="2"/>
      <scheme val="minor"/>
    </font>
    <font>
      <b/>
      <sz val="12"/>
      <color rgb="FF0070C0"/>
      <name val="Calibri"/>
      <family val="2"/>
      <scheme val="minor"/>
    </font>
    <font>
      <b/>
      <sz val="16"/>
      <color rgb="FF00B050"/>
      <name val="Calibri"/>
      <family val="2"/>
      <scheme val="minor"/>
    </font>
    <font>
      <b/>
      <sz val="14"/>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4" tint="0.39997558519241921"/>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50">
    <xf numFmtId="0" fontId="0" fillId="0" borderId="0" xfId="0"/>
    <xf numFmtId="0" fontId="1" fillId="0" borderId="0" xfId="0" applyFont="1"/>
    <xf numFmtId="0" fontId="1" fillId="2" borderId="0" xfId="0" applyFont="1" applyFill="1"/>
    <xf numFmtId="0" fontId="0" fillId="0" borderId="0" xfId="0" applyFont="1"/>
    <xf numFmtId="49" fontId="1" fillId="0" borderId="0" xfId="0" applyNumberFormat="1" applyFont="1" applyFill="1" applyAlignment="1">
      <alignment wrapText="1"/>
    </xf>
    <xf numFmtId="49" fontId="0" fillId="0" borderId="0" xfId="0" applyNumberFormat="1" applyFill="1" applyAlignment="1">
      <alignment wrapText="1"/>
    </xf>
    <xf numFmtId="49" fontId="0" fillId="0" borderId="0" xfId="0" applyNumberFormat="1" applyFont="1" applyFill="1" applyAlignment="1">
      <alignment wrapText="1"/>
    </xf>
    <xf numFmtId="49" fontId="1" fillId="0" borderId="1" xfId="0" applyNumberFormat="1" applyFont="1" applyFill="1" applyBorder="1" applyAlignment="1">
      <alignment wrapText="1"/>
    </xf>
    <xf numFmtId="49" fontId="0" fillId="0" borderId="1" xfId="0" applyNumberFormat="1" applyFont="1" applyFill="1" applyBorder="1" applyAlignment="1">
      <alignment wrapText="1"/>
    </xf>
    <xf numFmtId="49" fontId="0" fillId="0" borderId="1" xfId="0" applyNumberFormat="1" applyFill="1" applyBorder="1" applyAlignment="1">
      <alignment wrapText="1"/>
    </xf>
    <xf numFmtId="49" fontId="1" fillId="0" borderId="1" xfId="0" applyNumberFormat="1" applyFont="1" applyFill="1"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1" xfId="0" applyBorder="1"/>
    <xf numFmtId="0" fontId="1" fillId="0" borderId="1" xfId="0" applyFont="1" applyBorder="1" applyAlignment="1">
      <alignment horizontal="center" wrapText="1"/>
    </xf>
    <xf numFmtId="0" fontId="1" fillId="0" borderId="1" xfId="0" applyFont="1" applyBorder="1" applyAlignment="1">
      <alignment wrapText="1"/>
    </xf>
    <xf numFmtId="0" fontId="5" fillId="0" borderId="0" xfId="0" applyFont="1" applyFill="1"/>
    <xf numFmtId="164" fontId="6" fillId="0" borderId="0" xfId="0" applyNumberFormat="1" applyFont="1" applyFill="1"/>
    <xf numFmtId="0" fontId="5" fillId="0" borderId="0" xfId="0" applyFont="1"/>
    <xf numFmtId="164" fontId="5" fillId="0" borderId="0" xfId="0" applyNumberFormat="1" applyFont="1" applyFill="1"/>
    <xf numFmtId="0" fontId="7" fillId="0" borderId="0" xfId="0" applyFont="1" applyFill="1"/>
    <xf numFmtId="164" fontId="7" fillId="0" borderId="0" xfId="0" applyNumberFormat="1" applyFont="1" applyFill="1"/>
    <xf numFmtId="0" fontId="8" fillId="0" borderId="0" xfId="0" applyFont="1" applyFill="1"/>
    <xf numFmtId="0" fontId="9" fillId="0" borderId="0" xfId="0" applyFont="1"/>
    <xf numFmtId="0" fontId="4" fillId="0" borderId="0" xfId="0" applyFont="1" applyFill="1"/>
    <xf numFmtId="0" fontId="6" fillId="0" borderId="0" xfId="0" applyFont="1" applyFill="1"/>
    <xf numFmtId="165" fontId="7" fillId="0" borderId="0" xfId="0" applyNumberFormat="1" applyFont="1" applyFill="1"/>
    <xf numFmtId="0" fontId="10" fillId="0" borderId="0" xfId="0" applyFont="1" applyFill="1"/>
    <xf numFmtId="0" fontId="11" fillId="0" borderId="0" xfId="0" applyFont="1" applyFill="1"/>
    <xf numFmtId="165" fontId="11" fillId="0" borderId="0" xfId="0" applyNumberFormat="1" applyFont="1" applyFill="1"/>
    <xf numFmtId="165" fontId="12" fillId="0" borderId="0" xfId="0" applyNumberFormat="1" applyFont="1" applyFill="1"/>
    <xf numFmtId="0" fontId="12" fillId="0" borderId="0" xfId="0" applyFont="1" applyFill="1"/>
    <xf numFmtId="165" fontId="13" fillId="0" borderId="0" xfId="0" applyNumberFormat="1" applyFont="1" applyFill="1"/>
    <xf numFmtId="0" fontId="12" fillId="0" borderId="0" xfId="0" applyFont="1"/>
    <xf numFmtId="0" fontId="12" fillId="0" borderId="0" xfId="0" applyFont="1" applyAlignment="1">
      <alignment horizontal="right"/>
    </xf>
    <xf numFmtId="165" fontId="14" fillId="0" borderId="0" xfId="0" applyNumberFormat="1" applyFont="1" applyFill="1"/>
    <xf numFmtId="0" fontId="5" fillId="0" borderId="0" xfId="0" applyFont="1" applyFill="1" applyAlignment="1">
      <alignment wrapText="1"/>
    </xf>
    <xf numFmtId="0" fontId="5" fillId="3" borderId="0" xfId="0" applyFont="1" applyFill="1"/>
    <xf numFmtId="165" fontId="11" fillId="4" borderId="0" xfId="0" applyNumberFormat="1" applyFont="1" applyFill="1"/>
    <xf numFmtId="0" fontId="15" fillId="0" borderId="0" xfId="0" applyFont="1"/>
    <xf numFmtId="0" fontId="5" fillId="0" borderId="0" xfId="0" applyFont="1" applyAlignment="1">
      <alignment wrapText="1"/>
    </xf>
    <xf numFmtId="0" fontId="9" fillId="0" borderId="0" xfId="0" applyFont="1" applyFill="1"/>
    <xf numFmtId="164" fontId="5" fillId="0" borderId="0" xfId="0" applyNumberFormat="1" applyFont="1"/>
    <xf numFmtId="166" fontId="16" fillId="2" borderId="0" xfId="0" applyNumberFormat="1" applyFont="1" applyFill="1"/>
    <xf numFmtId="0" fontId="5" fillId="5" borderId="0" xfId="0" applyFont="1" applyFill="1"/>
    <xf numFmtId="0" fontId="14" fillId="3" borderId="0" xfId="0" applyFont="1" applyFill="1"/>
    <xf numFmtId="167" fontId="1" fillId="2" borderId="0" xfId="0" applyNumberFormat="1" applyFont="1" applyFill="1"/>
    <xf numFmtId="167" fontId="0" fillId="0" borderId="0" xfId="0" applyNumberFormat="1"/>
    <xf numFmtId="0" fontId="17" fillId="3" borderId="0" xfId="0" applyFont="1" applyFill="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8"/>
  <sheetViews>
    <sheetView workbookViewId="0">
      <selection sqref="A1:A108"/>
    </sheetView>
  </sheetViews>
  <sheetFormatPr defaultRowHeight="15" x14ac:dyDescent="0.25"/>
  <cols>
    <col min="1" max="1" width="91.42578125" customWidth="1"/>
  </cols>
  <sheetData>
    <row r="1" spans="1:1" x14ac:dyDescent="0.25">
      <c r="A1" s="11"/>
    </row>
    <row r="2" spans="1:1" x14ac:dyDescent="0.25">
      <c r="A2" s="11"/>
    </row>
    <row r="3" spans="1:1" x14ac:dyDescent="0.25">
      <c r="A3" s="11"/>
    </row>
    <row r="4" spans="1:1" x14ac:dyDescent="0.25">
      <c r="A4" s="11"/>
    </row>
    <row r="5" spans="1:1" x14ac:dyDescent="0.25">
      <c r="A5" s="11"/>
    </row>
    <row r="6" spans="1:1" x14ac:dyDescent="0.25">
      <c r="A6" s="11"/>
    </row>
    <row r="7" spans="1:1" x14ac:dyDescent="0.25">
      <c r="A7" s="11"/>
    </row>
    <row r="8" spans="1:1" x14ac:dyDescent="0.25">
      <c r="A8" s="11"/>
    </row>
    <row r="9" spans="1:1" x14ac:dyDescent="0.25">
      <c r="A9" s="11"/>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3"/>
    </row>
    <row r="110" spans="1:1" x14ac:dyDescent="0.25">
      <c r="A110" s="13"/>
    </row>
    <row r="111" spans="1:1" x14ac:dyDescent="0.25">
      <c r="A111" s="13"/>
    </row>
    <row r="112" spans="1:1" x14ac:dyDescent="0.25">
      <c r="A112" s="13"/>
    </row>
    <row r="113" spans="1:1" x14ac:dyDescent="0.25">
      <c r="A113" s="13"/>
    </row>
    <row r="114" spans="1:1" x14ac:dyDescent="0.25">
      <c r="A114" s="13"/>
    </row>
    <row r="115" spans="1:1" x14ac:dyDescent="0.25">
      <c r="A115" s="13"/>
    </row>
    <row r="116" spans="1:1" x14ac:dyDescent="0.25">
      <c r="A116" s="13"/>
    </row>
    <row r="117" spans="1:1" x14ac:dyDescent="0.25">
      <c r="A117" s="13"/>
    </row>
    <row r="118" spans="1:1" x14ac:dyDescent="0.25">
      <c r="A118" s="13"/>
    </row>
    <row r="119" spans="1:1" x14ac:dyDescent="0.25">
      <c r="A119" s="13"/>
    </row>
    <row r="120" spans="1:1" x14ac:dyDescent="0.25">
      <c r="A120" s="13"/>
    </row>
    <row r="121" spans="1:1" x14ac:dyDescent="0.25">
      <c r="A121" s="13"/>
    </row>
    <row r="122" spans="1:1" x14ac:dyDescent="0.25">
      <c r="A122" s="13"/>
    </row>
    <row r="123" spans="1:1" x14ac:dyDescent="0.25">
      <c r="A123" s="13"/>
    </row>
    <row r="124" spans="1:1" x14ac:dyDescent="0.25">
      <c r="A124" s="13"/>
    </row>
    <row r="125" spans="1:1" x14ac:dyDescent="0.25">
      <c r="A125" s="13"/>
    </row>
    <row r="126" spans="1:1" x14ac:dyDescent="0.25">
      <c r="A126" s="13"/>
    </row>
    <row r="127" spans="1:1" x14ac:dyDescent="0.25">
      <c r="A127" s="13"/>
    </row>
    <row r="128" spans="1:1" x14ac:dyDescent="0.25">
      <c r="A128" s="13"/>
    </row>
    <row r="129" spans="1:1" x14ac:dyDescent="0.25">
      <c r="A129" s="13"/>
    </row>
    <row r="130" spans="1:1" x14ac:dyDescent="0.25">
      <c r="A130" s="13"/>
    </row>
    <row r="131" spans="1:1" x14ac:dyDescent="0.25">
      <c r="A131" s="13"/>
    </row>
    <row r="132" spans="1:1" x14ac:dyDescent="0.25">
      <c r="A132" s="13"/>
    </row>
    <row r="133" spans="1:1" x14ac:dyDescent="0.25">
      <c r="A133" s="13"/>
    </row>
    <row r="134" spans="1:1" x14ac:dyDescent="0.25">
      <c r="A134" s="13"/>
    </row>
    <row r="135" spans="1:1" x14ac:dyDescent="0.25">
      <c r="A135" s="13"/>
    </row>
    <row r="136" spans="1:1" x14ac:dyDescent="0.25">
      <c r="A136" s="13"/>
    </row>
    <row r="137" spans="1:1" x14ac:dyDescent="0.25">
      <c r="A137" s="13"/>
    </row>
    <row r="138" spans="1:1" x14ac:dyDescent="0.25">
      <c r="A138" s="13"/>
    </row>
    <row r="139" spans="1:1" x14ac:dyDescent="0.25">
      <c r="A139" s="13"/>
    </row>
    <row r="140" spans="1:1" x14ac:dyDescent="0.25">
      <c r="A140" s="13"/>
    </row>
    <row r="141" spans="1:1" x14ac:dyDescent="0.25">
      <c r="A141" s="13"/>
    </row>
    <row r="142" spans="1:1" x14ac:dyDescent="0.25">
      <c r="A142" s="13"/>
    </row>
    <row r="143" spans="1:1" x14ac:dyDescent="0.25">
      <c r="A143" s="13"/>
    </row>
    <row r="144" spans="1:1" x14ac:dyDescent="0.25">
      <c r="A144" s="13"/>
    </row>
    <row r="145" spans="1:1" x14ac:dyDescent="0.25">
      <c r="A145" s="13"/>
    </row>
    <row r="146" spans="1:1" x14ac:dyDescent="0.25">
      <c r="A146" s="13"/>
    </row>
    <row r="147" spans="1:1" x14ac:dyDescent="0.25">
      <c r="A147" s="13"/>
    </row>
    <row r="148" spans="1:1" x14ac:dyDescent="0.25">
      <c r="A148" s="13"/>
    </row>
    <row r="149" spans="1:1" x14ac:dyDescent="0.25">
      <c r="A149" s="13"/>
    </row>
    <row r="150" spans="1:1" x14ac:dyDescent="0.25">
      <c r="A150" s="13"/>
    </row>
    <row r="151" spans="1:1" x14ac:dyDescent="0.25">
      <c r="A151" s="13"/>
    </row>
    <row r="152" spans="1:1" x14ac:dyDescent="0.25">
      <c r="A152" s="13"/>
    </row>
    <row r="153" spans="1:1" x14ac:dyDescent="0.25">
      <c r="A153" s="13"/>
    </row>
    <row r="154" spans="1:1" x14ac:dyDescent="0.25">
      <c r="A154" s="13"/>
    </row>
    <row r="155" spans="1:1" x14ac:dyDescent="0.25">
      <c r="A155" s="13"/>
    </row>
    <row r="156" spans="1:1" x14ac:dyDescent="0.25">
      <c r="A156" s="13"/>
    </row>
    <row r="157" spans="1:1" x14ac:dyDescent="0.25">
      <c r="A157" s="13"/>
    </row>
    <row r="158" spans="1:1" x14ac:dyDescent="0.25">
      <c r="A158" s="13"/>
    </row>
    <row r="159" spans="1:1" x14ac:dyDescent="0.25">
      <c r="A159" s="13"/>
    </row>
    <row r="160" spans="1:1" x14ac:dyDescent="0.25">
      <c r="A160" s="13"/>
    </row>
    <row r="161" spans="1:1" x14ac:dyDescent="0.25">
      <c r="A161" s="13"/>
    </row>
    <row r="162" spans="1:1" x14ac:dyDescent="0.25">
      <c r="A162" s="13"/>
    </row>
    <row r="163" spans="1:1" x14ac:dyDescent="0.25">
      <c r="A163" s="13"/>
    </row>
    <row r="164" spans="1:1" x14ac:dyDescent="0.25">
      <c r="A164" s="13"/>
    </row>
    <row r="165" spans="1:1" x14ac:dyDescent="0.25">
      <c r="A165" s="13"/>
    </row>
    <row r="166" spans="1:1" x14ac:dyDescent="0.25">
      <c r="A166" s="13"/>
    </row>
    <row r="167" spans="1:1" x14ac:dyDescent="0.25">
      <c r="A167" s="13"/>
    </row>
    <row r="168" spans="1:1" x14ac:dyDescent="0.25">
      <c r="A168" s="13"/>
    </row>
    <row r="169" spans="1:1" x14ac:dyDescent="0.25">
      <c r="A169" s="13"/>
    </row>
    <row r="170" spans="1:1" x14ac:dyDescent="0.25">
      <c r="A170" s="13"/>
    </row>
    <row r="171" spans="1:1" x14ac:dyDescent="0.25">
      <c r="A171" s="13"/>
    </row>
    <row r="172" spans="1:1" x14ac:dyDescent="0.25">
      <c r="A172" s="13"/>
    </row>
    <row r="173" spans="1:1" x14ac:dyDescent="0.25">
      <c r="A173" s="13"/>
    </row>
    <row r="174" spans="1:1" x14ac:dyDescent="0.25">
      <c r="A174" s="13"/>
    </row>
    <row r="175" spans="1:1" x14ac:dyDescent="0.25">
      <c r="A175" s="13"/>
    </row>
    <row r="176" spans="1:1" x14ac:dyDescent="0.25">
      <c r="A176" s="13"/>
    </row>
    <row r="177" spans="1:1" x14ac:dyDescent="0.25">
      <c r="A177" s="13"/>
    </row>
    <row r="178" spans="1:1" x14ac:dyDescent="0.25">
      <c r="A178" s="13"/>
    </row>
    <row r="179" spans="1:1" x14ac:dyDescent="0.25">
      <c r="A179" s="13"/>
    </row>
    <row r="180" spans="1:1" x14ac:dyDescent="0.25">
      <c r="A180" s="13"/>
    </row>
    <row r="181" spans="1:1" x14ac:dyDescent="0.25">
      <c r="A181" s="13"/>
    </row>
    <row r="182" spans="1:1" x14ac:dyDescent="0.25">
      <c r="A182" s="13"/>
    </row>
    <row r="183" spans="1:1" x14ac:dyDescent="0.25">
      <c r="A183" s="13"/>
    </row>
    <row r="184" spans="1:1" x14ac:dyDescent="0.25">
      <c r="A184" s="13"/>
    </row>
    <row r="185" spans="1:1" x14ac:dyDescent="0.25">
      <c r="A185" s="13"/>
    </row>
    <row r="186" spans="1:1" x14ac:dyDescent="0.25">
      <c r="A186" s="13"/>
    </row>
    <row r="187" spans="1:1" x14ac:dyDescent="0.25">
      <c r="A187" s="13"/>
    </row>
    <row r="188" spans="1:1" x14ac:dyDescent="0.25">
      <c r="A188" s="13"/>
    </row>
    <row r="189" spans="1:1" x14ac:dyDescent="0.25">
      <c r="A189" s="13"/>
    </row>
    <row r="190" spans="1:1" x14ac:dyDescent="0.25">
      <c r="A190" s="13"/>
    </row>
    <row r="191" spans="1:1" x14ac:dyDescent="0.25">
      <c r="A191" s="13"/>
    </row>
    <row r="192" spans="1:1" x14ac:dyDescent="0.25">
      <c r="A192" s="13"/>
    </row>
    <row r="193" spans="1:1" x14ac:dyDescent="0.25">
      <c r="A193" s="13"/>
    </row>
    <row r="194" spans="1:1" x14ac:dyDescent="0.25">
      <c r="A194" s="13"/>
    </row>
    <row r="195" spans="1:1" x14ac:dyDescent="0.25">
      <c r="A195" s="13"/>
    </row>
    <row r="196" spans="1:1" x14ac:dyDescent="0.25">
      <c r="A196" s="13"/>
    </row>
    <row r="197" spans="1:1" x14ac:dyDescent="0.25">
      <c r="A197" s="13"/>
    </row>
    <row r="198" spans="1:1" x14ac:dyDescent="0.25">
      <c r="A198" s="13"/>
    </row>
    <row r="199" spans="1:1" x14ac:dyDescent="0.25">
      <c r="A199" s="13"/>
    </row>
    <row r="200" spans="1:1" x14ac:dyDescent="0.25">
      <c r="A200" s="13"/>
    </row>
    <row r="201" spans="1:1" x14ac:dyDescent="0.25">
      <c r="A201" s="13"/>
    </row>
    <row r="202" spans="1:1" x14ac:dyDescent="0.25">
      <c r="A202" s="13"/>
    </row>
    <row r="203" spans="1:1" x14ac:dyDescent="0.25">
      <c r="A203" s="13"/>
    </row>
    <row r="204" spans="1:1" x14ac:dyDescent="0.25">
      <c r="A204" s="13"/>
    </row>
    <row r="205" spans="1:1" x14ac:dyDescent="0.25">
      <c r="A205" s="13"/>
    </row>
    <row r="206" spans="1:1" x14ac:dyDescent="0.25">
      <c r="A206" s="13"/>
    </row>
    <row r="207" spans="1:1" x14ac:dyDescent="0.25">
      <c r="A207" s="13"/>
    </row>
    <row r="208" spans="1:1" x14ac:dyDescent="0.25">
      <c r="A208" s="13"/>
    </row>
    <row r="209" spans="1:1" x14ac:dyDescent="0.25">
      <c r="A209" s="13"/>
    </row>
    <row r="210" spans="1:1" x14ac:dyDescent="0.25">
      <c r="A210" s="13"/>
    </row>
    <row r="211" spans="1:1" x14ac:dyDescent="0.25">
      <c r="A211" s="13"/>
    </row>
    <row r="212" spans="1:1" x14ac:dyDescent="0.25">
      <c r="A212" s="13"/>
    </row>
    <row r="213" spans="1:1" x14ac:dyDescent="0.25">
      <c r="A213" s="13"/>
    </row>
    <row r="214" spans="1:1" x14ac:dyDescent="0.25">
      <c r="A214" s="13"/>
    </row>
    <row r="215" spans="1:1" x14ac:dyDescent="0.25">
      <c r="A215" s="13"/>
    </row>
    <row r="216" spans="1:1" x14ac:dyDescent="0.25">
      <c r="A216" s="13"/>
    </row>
    <row r="217" spans="1:1" x14ac:dyDescent="0.25">
      <c r="A217" s="13"/>
    </row>
    <row r="218" spans="1:1" x14ac:dyDescent="0.25">
      <c r="A218" s="13"/>
    </row>
    <row r="219" spans="1:1" x14ac:dyDescent="0.25">
      <c r="A219" s="13"/>
    </row>
    <row r="220" spans="1:1" x14ac:dyDescent="0.25">
      <c r="A220" s="13"/>
    </row>
    <row r="221" spans="1:1" x14ac:dyDescent="0.25">
      <c r="A221" s="13"/>
    </row>
    <row r="222" spans="1:1" x14ac:dyDescent="0.25">
      <c r="A222" s="13"/>
    </row>
    <row r="223" spans="1:1" x14ac:dyDescent="0.25">
      <c r="A223" s="13"/>
    </row>
    <row r="224" spans="1:1" x14ac:dyDescent="0.25">
      <c r="A224" s="13"/>
    </row>
    <row r="225" spans="1:1" x14ac:dyDescent="0.25">
      <c r="A225" s="13"/>
    </row>
    <row r="226" spans="1:1" x14ac:dyDescent="0.25">
      <c r="A226" s="13"/>
    </row>
    <row r="227" spans="1:1" x14ac:dyDescent="0.25">
      <c r="A227" s="13"/>
    </row>
    <row r="228" spans="1:1" x14ac:dyDescent="0.25">
      <c r="A228" s="13"/>
    </row>
    <row r="229" spans="1:1" x14ac:dyDescent="0.25">
      <c r="A229" s="13"/>
    </row>
    <row r="230" spans="1:1" x14ac:dyDescent="0.25">
      <c r="A230" s="13"/>
    </row>
    <row r="231" spans="1:1" x14ac:dyDescent="0.25">
      <c r="A231" s="13"/>
    </row>
    <row r="232" spans="1:1" x14ac:dyDescent="0.25">
      <c r="A232" s="13"/>
    </row>
    <row r="233" spans="1:1" x14ac:dyDescent="0.25">
      <c r="A233" s="13"/>
    </row>
    <row r="234" spans="1:1" x14ac:dyDescent="0.25">
      <c r="A234" s="13"/>
    </row>
    <row r="235" spans="1:1" x14ac:dyDescent="0.25">
      <c r="A235" s="13"/>
    </row>
    <row r="236" spans="1:1" x14ac:dyDescent="0.25">
      <c r="A236" s="13"/>
    </row>
    <row r="237" spans="1:1" x14ac:dyDescent="0.25">
      <c r="A237" s="13"/>
    </row>
    <row r="238" spans="1:1" x14ac:dyDescent="0.25">
      <c r="A238" s="13"/>
    </row>
    <row r="239" spans="1:1" x14ac:dyDescent="0.25">
      <c r="A239" s="13"/>
    </row>
    <row r="240" spans="1:1" x14ac:dyDescent="0.25">
      <c r="A240" s="13"/>
    </row>
    <row r="241" spans="1:1" x14ac:dyDescent="0.25">
      <c r="A241" s="13"/>
    </row>
    <row r="242" spans="1:1" x14ac:dyDescent="0.25">
      <c r="A242" s="13"/>
    </row>
    <row r="243" spans="1:1" x14ac:dyDescent="0.25">
      <c r="A243" s="13"/>
    </row>
    <row r="244" spans="1:1" x14ac:dyDescent="0.25">
      <c r="A244" s="13"/>
    </row>
    <row r="245" spans="1:1" x14ac:dyDescent="0.25">
      <c r="A245" s="13"/>
    </row>
    <row r="246" spans="1:1" x14ac:dyDescent="0.25">
      <c r="A246" s="13"/>
    </row>
    <row r="247" spans="1:1" x14ac:dyDescent="0.25">
      <c r="A247" s="13"/>
    </row>
    <row r="248" spans="1:1" x14ac:dyDescent="0.25">
      <c r="A248" s="13"/>
    </row>
    <row r="249" spans="1:1" x14ac:dyDescent="0.25">
      <c r="A249" s="13"/>
    </row>
    <row r="250" spans="1:1" x14ac:dyDescent="0.25">
      <c r="A250" s="13"/>
    </row>
    <row r="251" spans="1:1" x14ac:dyDescent="0.25">
      <c r="A251" s="13"/>
    </row>
    <row r="252" spans="1:1" x14ac:dyDescent="0.25">
      <c r="A252" s="13"/>
    </row>
    <row r="253" spans="1:1" x14ac:dyDescent="0.25">
      <c r="A253" s="13"/>
    </row>
    <row r="254" spans="1:1" x14ac:dyDescent="0.25">
      <c r="A254" s="13"/>
    </row>
    <row r="255" spans="1:1" x14ac:dyDescent="0.25">
      <c r="A255" s="13"/>
    </row>
    <row r="256" spans="1:1" x14ac:dyDescent="0.25">
      <c r="A256" s="13"/>
    </row>
    <row r="257" spans="1:1" x14ac:dyDescent="0.25">
      <c r="A257" s="13"/>
    </row>
    <row r="258" spans="1:1" x14ac:dyDescent="0.25">
      <c r="A258" s="13"/>
    </row>
    <row r="259" spans="1:1" x14ac:dyDescent="0.25">
      <c r="A259" s="13"/>
    </row>
    <row r="260" spans="1:1" x14ac:dyDescent="0.25">
      <c r="A260" s="13"/>
    </row>
    <row r="261" spans="1:1" x14ac:dyDescent="0.25">
      <c r="A261" s="13"/>
    </row>
    <row r="262" spans="1:1" x14ac:dyDescent="0.25">
      <c r="A262" s="13"/>
    </row>
    <row r="263" spans="1:1" x14ac:dyDescent="0.25">
      <c r="A263" s="13"/>
    </row>
    <row r="264" spans="1:1" x14ac:dyDescent="0.25">
      <c r="A264" s="13"/>
    </row>
    <row r="265" spans="1:1" x14ac:dyDescent="0.25">
      <c r="A265" s="13"/>
    </row>
    <row r="266" spans="1:1" x14ac:dyDescent="0.25">
      <c r="A266" s="13"/>
    </row>
    <row r="267" spans="1:1" x14ac:dyDescent="0.25">
      <c r="A267" s="13"/>
    </row>
    <row r="268" spans="1:1" x14ac:dyDescent="0.25">
      <c r="A268" s="13"/>
    </row>
    <row r="269" spans="1:1" x14ac:dyDescent="0.25">
      <c r="A269" s="13"/>
    </row>
    <row r="270" spans="1:1" x14ac:dyDescent="0.25">
      <c r="A270" s="13"/>
    </row>
    <row r="271" spans="1:1" x14ac:dyDescent="0.25">
      <c r="A271" s="13"/>
    </row>
    <row r="272" spans="1:1" x14ac:dyDescent="0.25">
      <c r="A272" s="13"/>
    </row>
    <row r="273" spans="1:1" x14ac:dyDescent="0.25">
      <c r="A273" s="13"/>
    </row>
    <row r="274" spans="1:1" x14ac:dyDescent="0.25">
      <c r="A274" s="13"/>
    </row>
    <row r="275" spans="1:1" x14ac:dyDescent="0.25">
      <c r="A275" s="13"/>
    </row>
    <row r="276" spans="1:1" x14ac:dyDescent="0.25">
      <c r="A276" s="13"/>
    </row>
    <row r="277" spans="1:1" x14ac:dyDescent="0.25">
      <c r="A277" s="13"/>
    </row>
    <row r="278" spans="1:1" x14ac:dyDescent="0.25">
      <c r="A278" s="13"/>
    </row>
    <row r="279" spans="1:1" x14ac:dyDescent="0.25">
      <c r="A279" s="13"/>
    </row>
    <row r="280" spans="1:1" x14ac:dyDescent="0.25">
      <c r="A280" s="13"/>
    </row>
    <row r="281" spans="1:1" x14ac:dyDescent="0.25">
      <c r="A281" s="13"/>
    </row>
    <row r="282" spans="1:1" x14ac:dyDescent="0.25">
      <c r="A282" s="13"/>
    </row>
    <row r="283" spans="1:1" x14ac:dyDescent="0.25">
      <c r="A283" s="13"/>
    </row>
    <row r="284" spans="1:1" x14ac:dyDescent="0.25">
      <c r="A284" s="13"/>
    </row>
    <row r="285" spans="1:1" x14ac:dyDescent="0.25">
      <c r="A285" s="13"/>
    </row>
    <row r="286" spans="1:1" x14ac:dyDescent="0.25">
      <c r="A286" s="13"/>
    </row>
    <row r="287" spans="1:1" x14ac:dyDescent="0.25">
      <c r="A287" s="13"/>
    </row>
    <row r="288" spans="1:1" x14ac:dyDescent="0.25">
      <c r="A288" s="13"/>
    </row>
    <row r="289" spans="1:1" x14ac:dyDescent="0.25">
      <c r="A289" s="13"/>
    </row>
    <row r="290" spans="1:1" x14ac:dyDescent="0.25">
      <c r="A290" s="13"/>
    </row>
    <row r="291" spans="1:1" x14ac:dyDescent="0.25">
      <c r="A291" s="13"/>
    </row>
    <row r="292" spans="1:1" x14ac:dyDescent="0.25">
      <c r="A292" s="13"/>
    </row>
    <row r="293" spans="1:1" x14ac:dyDescent="0.25">
      <c r="A293" s="13"/>
    </row>
    <row r="294" spans="1:1" x14ac:dyDescent="0.25">
      <c r="A294" s="13"/>
    </row>
    <row r="295" spans="1:1" x14ac:dyDescent="0.25">
      <c r="A295" s="13"/>
    </row>
    <row r="296" spans="1:1" x14ac:dyDescent="0.25">
      <c r="A296" s="13"/>
    </row>
    <row r="297" spans="1:1" x14ac:dyDescent="0.25">
      <c r="A297" s="13"/>
    </row>
    <row r="298" spans="1:1" x14ac:dyDescent="0.25">
      <c r="A298" s="13"/>
    </row>
    <row r="299" spans="1:1" x14ac:dyDescent="0.25">
      <c r="A299" s="13"/>
    </row>
    <row r="300" spans="1:1" x14ac:dyDescent="0.25">
      <c r="A300" s="13"/>
    </row>
    <row r="301" spans="1:1" x14ac:dyDescent="0.25">
      <c r="A301" s="13"/>
    </row>
    <row r="302" spans="1:1" x14ac:dyDescent="0.25">
      <c r="A302" s="13"/>
    </row>
    <row r="303" spans="1:1" x14ac:dyDescent="0.25">
      <c r="A303" s="13"/>
    </row>
    <row r="304" spans="1:1" x14ac:dyDescent="0.25">
      <c r="A304" s="13"/>
    </row>
    <row r="305" spans="1:1" x14ac:dyDescent="0.25">
      <c r="A305" s="13"/>
    </row>
    <row r="306" spans="1:1" x14ac:dyDescent="0.25">
      <c r="A306" s="13"/>
    </row>
    <row r="307" spans="1:1" x14ac:dyDescent="0.25">
      <c r="A307" s="13"/>
    </row>
    <row r="308" spans="1:1" x14ac:dyDescent="0.25">
      <c r="A308" s="13"/>
    </row>
    <row r="309" spans="1:1" x14ac:dyDescent="0.25">
      <c r="A309" s="13"/>
    </row>
    <row r="310" spans="1:1" x14ac:dyDescent="0.25">
      <c r="A310" s="13"/>
    </row>
    <row r="311" spans="1:1" x14ac:dyDescent="0.25">
      <c r="A311" s="13"/>
    </row>
    <row r="312" spans="1:1" x14ac:dyDescent="0.25">
      <c r="A312" s="13"/>
    </row>
    <row r="313" spans="1:1" x14ac:dyDescent="0.25">
      <c r="A313" s="13"/>
    </row>
    <row r="314" spans="1:1" x14ac:dyDescent="0.25">
      <c r="A314" s="13"/>
    </row>
    <row r="315" spans="1:1" x14ac:dyDescent="0.25">
      <c r="A315" s="13"/>
    </row>
    <row r="316" spans="1:1" x14ac:dyDescent="0.25">
      <c r="A316" s="13"/>
    </row>
    <row r="317" spans="1:1" x14ac:dyDescent="0.25">
      <c r="A317" s="13"/>
    </row>
    <row r="318" spans="1:1" x14ac:dyDescent="0.25">
      <c r="A318" s="13"/>
    </row>
    <row r="319" spans="1:1" x14ac:dyDescent="0.25">
      <c r="A319" s="13"/>
    </row>
    <row r="320" spans="1:1" x14ac:dyDescent="0.25">
      <c r="A320" s="13"/>
    </row>
    <row r="321" spans="1:1" x14ac:dyDescent="0.25">
      <c r="A321" s="13"/>
    </row>
    <row r="322" spans="1:1" x14ac:dyDescent="0.25">
      <c r="A322" s="13"/>
    </row>
    <row r="323" spans="1:1" x14ac:dyDescent="0.25">
      <c r="A323" s="13"/>
    </row>
    <row r="324" spans="1:1" x14ac:dyDescent="0.25">
      <c r="A324" s="13"/>
    </row>
    <row r="325" spans="1:1" x14ac:dyDescent="0.25">
      <c r="A325" s="13"/>
    </row>
    <row r="326" spans="1:1" x14ac:dyDescent="0.25">
      <c r="A326" s="13"/>
    </row>
    <row r="327" spans="1:1" x14ac:dyDescent="0.25">
      <c r="A327" s="13"/>
    </row>
    <row r="328" spans="1:1" x14ac:dyDescent="0.25">
      <c r="A328" s="13"/>
    </row>
    <row r="329" spans="1:1" x14ac:dyDescent="0.25">
      <c r="A329" s="13"/>
    </row>
    <row r="330" spans="1:1" x14ac:dyDescent="0.25">
      <c r="A330" s="13"/>
    </row>
    <row r="331" spans="1:1" x14ac:dyDescent="0.25">
      <c r="A331" s="13"/>
    </row>
    <row r="332" spans="1:1" x14ac:dyDescent="0.25">
      <c r="A332" s="13"/>
    </row>
    <row r="333" spans="1:1" x14ac:dyDescent="0.25">
      <c r="A333" s="13"/>
    </row>
    <row r="334" spans="1:1" x14ac:dyDescent="0.25">
      <c r="A334" s="13"/>
    </row>
    <row r="335" spans="1:1" x14ac:dyDescent="0.25">
      <c r="A335" s="13"/>
    </row>
    <row r="336" spans="1:1" x14ac:dyDescent="0.25">
      <c r="A336" s="13"/>
    </row>
    <row r="337" spans="1:1" x14ac:dyDescent="0.25">
      <c r="A337" s="13"/>
    </row>
    <row r="338" spans="1:1" x14ac:dyDescent="0.25">
      <c r="A338" s="13"/>
    </row>
    <row r="339" spans="1:1" x14ac:dyDescent="0.25">
      <c r="A339" s="13"/>
    </row>
    <row r="340" spans="1:1" x14ac:dyDescent="0.25">
      <c r="A340" s="13"/>
    </row>
    <row r="341" spans="1:1" x14ac:dyDescent="0.25">
      <c r="A341" s="13"/>
    </row>
    <row r="342" spans="1:1" x14ac:dyDescent="0.25">
      <c r="A342" s="13"/>
    </row>
    <row r="343" spans="1:1" x14ac:dyDescent="0.25">
      <c r="A343" s="13"/>
    </row>
    <row r="344" spans="1:1" x14ac:dyDescent="0.25">
      <c r="A344" s="13"/>
    </row>
    <row r="345" spans="1:1" x14ac:dyDescent="0.25">
      <c r="A345" s="13"/>
    </row>
    <row r="346" spans="1:1" x14ac:dyDescent="0.25">
      <c r="A346" s="13"/>
    </row>
    <row r="347" spans="1:1" x14ac:dyDescent="0.25">
      <c r="A347" s="13"/>
    </row>
    <row r="348" spans="1:1" x14ac:dyDescent="0.25">
      <c r="A348" s="13"/>
    </row>
    <row r="349" spans="1:1" x14ac:dyDescent="0.25">
      <c r="A349" s="13"/>
    </row>
    <row r="350" spans="1:1" x14ac:dyDescent="0.25">
      <c r="A350" s="13"/>
    </row>
    <row r="351" spans="1:1" x14ac:dyDescent="0.25">
      <c r="A351" s="13"/>
    </row>
    <row r="352" spans="1:1" x14ac:dyDescent="0.25">
      <c r="A352" s="13"/>
    </row>
    <row r="353" spans="1:1" x14ac:dyDescent="0.25">
      <c r="A353" s="13"/>
    </row>
    <row r="354" spans="1:1" x14ac:dyDescent="0.25">
      <c r="A354" s="13"/>
    </row>
    <row r="355" spans="1:1" x14ac:dyDescent="0.25">
      <c r="A355" s="13"/>
    </row>
    <row r="356" spans="1:1" x14ac:dyDescent="0.25">
      <c r="A356" s="13"/>
    </row>
    <row r="357" spans="1:1" x14ac:dyDescent="0.25">
      <c r="A357" s="13"/>
    </row>
    <row r="358" spans="1:1" x14ac:dyDescent="0.25">
      <c r="A358" s="13"/>
    </row>
    <row r="359" spans="1:1" x14ac:dyDescent="0.25">
      <c r="A359" s="13"/>
    </row>
    <row r="360" spans="1:1" x14ac:dyDescent="0.25">
      <c r="A360" s="13"/>
    </row>
    <row r="361" spans="1:1" x14ac:dyDescent="0.25">
      <c r="A361" s="13"/>
    </row>
    <row r="362" spans="1:1" x14ac:dyDescent="0.25">
      <c r="A362" s="13"/>
    </row>
    <row r="363" spans="1:1" x14ac:dyDescent="0.25">
      <c r="A363" s="13"/>
    </row>
    <row r="364" spans="1:1" x14ac:dyDescent="0.25">
      <c r="A364" s="13"/>
    </row>
    <row r="365" spans="1:1" x14ac:dyDescent="0.25">
      <c r="A365" s="13"/>
    </row>
    <row r="366" spans="1:1" x14ac:dyDescent="0.25">
      <c r="A366" s="13"/>
    </row>
    <row r="367" spans="1:1" x14ac:dyDescent="0.25">
      <c r="A367" s="13"/>
    </row>
    <row r="368" spans="1:1" x14ac:dyDescent="0.25">
      <c r="A368" s="13"/>
    </row>
    <row r="369" spans="1:1" x14ac:dyDescent="0.25">
      <c r="A369" s="13"/>
    </row>
    <row r="370" spans="1:1" x14ac:dyDescent="0.25">
      <c r="A370" s="13"/>
    </row>
    <row r="371" spans="1:1" x14ac:dyDescent="0.25">
      <c r="A371" s="13"/>
    </row>
    <row r="372" spans="1:1" x14ac:dyDescent="0.25">
      <c r="A372" s="13"/>
    </row>
    <row r="373" spans="1:1" x14ac:dyDescent="0.25">
      <c r="A373" s="13"/>
    </row>
    <row r="374" spans="1:1" x14ac:dyDescent="0.25">
      <c r="A374" s="13"/>
    </row>
    <row r="375" spans="1:1" x14ac:dyDescent="0.25">
      <c r="A375" s="13"/>
    </row>
    <row r="376" spans="1:1" x14ac:dyDescent="0.25">
      <c r="A376" s="13"/>
    </row>
    <row r="377" spans="1:1" x14ac:dyDescent="0.25">
      <c r="A377" s="13"/>
    </row>
    <row r="378" spans="1:1" x14ac:dyDescent="0.25">
      <c r="A378" s="13"/>
    </row>
  </sheetData>
  <pageMargins left="0.39370078740157483" right="0.39370078740157483" top="0.39370078740157483" bottom="0.39370078740157483"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2"/>
  <sheetViews>
    <sheetView workbookViewId="0">
      <selection activeCell="A19" sqref="A19"/>
    </sheetView>
  </sheetViews>
  <sheetFormatPr defaultRowHeight="15" x14ac:dyDescent="0.25"/>
  <cols>
    <col min="1" max="1" width="91.42578125" style="12" customWidth="1"/>
  </cols>
  <sheetData>
    <row r="1" spans="1:1" x14ac:dyDescent="0.25">
      <c r="A1" s="14" t="s">
        <v>277</v>
      </c>
    </row>
    <row r="2" spans="1:1" ht="30" x14ac:dyDescent="0.25">
      <c r="A2" s="11" t="s">
        <v>278</v>
      </c>
    </row>
    <row r="3" spans="1:1" x14ac:dyDescent="0.25">
      <c r="A3" s="11" t="s">
        <v>281</v>
      </c>
    </row>
    <row r="4" spans="1:1" x14ac:dyDescent="0.25">
      <c r="A4" s="11" t="s">
        <v>305</v>
      </c>
    </row>
    <row r="5" spans="1:1" x14ac:dyDescent="0.25">
      <c r="A5" s="11" t="s">
        <v>279</v>
      </c>
    </row>
    <row r="6" spans="1:1" x14ac:dyDescent="0.25">
      <c r="A6" s="11" t="s">
        <v>280</v>
      </c>
    </row>
    <row r="7" spans="1:1" ht="45" x14ac:dyDescent="0.25">
      <c r="A7" s="11" t="s">
        <v>285</v>
      </c>
    </row>
    <row r="8" spans="1:1" ht="30" x14ac:dyDescent="0.25">
      <c r="A8" s="11" t="s">
        <v>286</v>
      </c>
    </row>
    <row r="9" spans="1:1" ht="30" x14ac:dyDescent="0.25">
      <c r="A9" s="11" t="s">
        <v>284</v>
      </c>
    </row>
    <row r="10" spans="1:1" ht="30" x14ac:dyDescent="0.25">
      <c r="A10" s="11" t="s">
        <v>283</v>
      </c>
    </row>
    <row r="11" spans="1:1" x14ac:dyDescent="0.25">
      <c r="A11" s="11" t="s">
        <v>282</v>
      </c>
    </row>
    <row r="12" spans="1:1" ht="30" x14ac:dyDescent="0.25">
      <c r="A12" s="11" t="s">
        <v>304</v>
      </c>
    </row>
    <row r="13" spans="1:1" ht="30" x14ac:dyDescent="0.25">
      <c r="A13" s="11" t="s">
        <v>287</v>
      </c>
    </row>
    <row r="14" spans="1:1" x14ac:dyDescent="0.25">
      <c r="A14" s="11"/>
    </row>
    <row r="15" spans="1:1" ht="45" x14ac:dyDescent="0.25">
      <c r="A15" s="11" t="s">
        <v>288</v>
      </c>
    </row>
    <row r="16" spans="1:1" ht="30" x14ac:dyDescent="0.25">
      <c r="A16" s="11" t="s">
        <v>289</v>
      </c>
    </row>
    <row r="17" spans="1:1" ht="30" x14ac:dyDescent="0.25">
      <c r="A17" s="11" t="s">
        <v>290</v>
      </c>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1"/>
    </row>
    <row r="110" spans="1:1" x14ac:dyDescent="0.25">
      <c r="A110" s="11"/>
    </row>
    <row r="111" spans="1:1" x14ac:dyDescent="0.25">
      <c r="A111" s="11"/>
    </row>
    <row r="112" spans="1:1" x14ac:dyDescent="0.25">
      <c r="A112" s="11"/>
    </row>
    <row r="113" spans="1:1" x14ac:dyDescent="0.25">
      <c r="A113" s="11"/>
    </row>
    <row r="114" spans="1:1" x14ac:dyDescent="0.25">
      <c r="A114" s="11"/>
    </row>
    <row r="115" spans="1:1" x14ac:dyDescent="0.25">
      <c r="A115" s="11"/>
    </row>
    <row r="116" spans="1:1" x14ac:dyDescent="0.25">
      <c r="A116" s="11"/>
    </row>
    <row r="117" spans="1:1" x14ac:dyDescent="0.25">
      <c r="A117" s="11"/>
    </row>
    <row r="118" spans="1:1" x14ac:dyDescent="0.25">
      <c r="A118" s="11"/>
    </row>
    <row r="119" spans="1:1" x14ac:dyDescent="0.25">
      <c r="A119" s="11"/>
    </row>
    <row r="120" spans="1:1" x14ac:dyDescent="0.25">
      <c r="A120" s="11"/>
    </row>
    <row r="121" spans="1:1" x14ac:dyDescent="0.25">
      <c r="A121" s="11"/>
    </row>
    <row r="122" spans="1:1" x14ac:dyDescent="0.25">
      <c r="A122" s="11"/>
    </row>
    <row r="123" spans="1:1" x14ac:dyDescent="0.25">
      <c r="A123" s="11"/>
    </row>
    <row r="124" spans="1:1" x14ac:dyDescent="0.25">
      <c r="A124" s="11"/>
    </row>
    <row r="125" spans="1:1" x14ac:dyDescent="0.25">
      <c r="A125" s="11"/>
    </row>
    <row r="126" spans="1:1" x14ac:dyDescent="0.25">
      <c r="A126" s="11"/>
    </row>
    <row r="127" spans="1:1" x14ac:dyDescent="0.25">
      <c r="A127" s="11"/>
    </row>
    <row r="128" spans="1:1" x14ac:dyDescent="0.25">
      <c r="A128" s="11"/>
    </row>
    <row r="129" spans="1:1" x14ac:dyDescent="0.25">
      <c r="A129" s="11"/>
    </row>
    <row r="130" spans="1:1" x14ac:dyDescent="0.25">
      <c r="A130" s="11"/>
    </row>
    <row r="131" spans="1:1" x14ac:dyDescent="0.25">
      <c r="A131" s="11"/>
    </row>
    <row r="132" spans="1:1" x14ac:dyDescent="0.25">
      <c r="A132" s="11"/>
    </row>
    <row r="133" spans="1:1" x14ac:dyDescent="0.25">
      <c r="A133" s="11"/>
    </row>
    <row r="134" spans="1:1" x14ac:dyDescent="0.25">
      <c r="A134" s="11"/>
    </row>
    <row r="135" spans="1:1" x14ac:dyDescent="0.25">
      <c r="A135" s="11"/>
    </row>
    <row r="136" spans="1:1" x14ac:dyDescent="0.25">
      <c r="A136" s="11"/>
    </row>
    <row r="137" spans="1:1" x14ac:dyDescent="0.25">
      <c r="A137" s="11"/>
    </row>
    <row r="138" spans="1:1" x14ac:dyDescent="0.25">
      <c r="A138" s="11"/>
    </row>
    <row r="139" spans="1:1" x14ac:dyDescent="0.25">
      <c r="A139" s="11"/>
    </row>
    <row r="140" spans="1:1" x14ac:dyDescent="0.25">
      <c r="A140" s="11"/>
    </row>
    <row r="141" spans="1:1" x14ac:dyDescent="0.25">
      <c r="A141" s="11"/>
    </row>
    <row r="142" spans="1:1" x14ac:dyDescent="0.25">
      <c r="A142" s="11"/>
    </row>
    <row r="143" spans="1:1" x14ac:dyDescent="0.25">
      <c r="A143" s="11"/>
    </row>
    <row r="144" spans="1:1" x14ac:dyDescent="0.25">
      <c r="A144" s="11"/>
    </row>
    <row r="145" spans="1:1" x14ac:dyDescent="0.25">
      <c r="A145" s="11"/>
    </row>
    <row r="146" spans="1:1" x14ac:dyDescent="0.25">
      <c r="A146" s="11"/>
    </row>
    <row r="147" spans="1:1" x14ac:dyDescent="0.25">
      <c r="A147" s="11"/>
    </row>
    <row r="148" spans="1:1" x14ac:dyDescent="0.25">
      <c r="A148" s="11"/>
    </row>
    <row r="149" spans="1:1" x14ac:dyDescent="0.25">
      <c r="A149" s="11"/>
    </row>
    <row r="150" spans="1:1" x14ac:dyDescent="0.25">
      <c r="A150" s="11"/>
    </row>
    <row r="151" spans="1:1" x14ac:dyDescent="0.25">
      <c r="A151" s="11"/>
    </row>
    <row r="152" spans="1:1" x14ac:dyDescent="0.25">
      <c r="A152" s="11"/>
    </row>
    <row r="153" spans="1:1" x14ac:dyDescent="0.25">
      <c r="A153" s="11"/>
    </row>
    <row r="154" spans="1:1" x14ac:dyDescent="0.25">
      <c r="A154" s="11"/>
    </row>
    <row r="155" spans="1:1" x14ac:dyDescent="0.25">
      <c r="A155" s="11"/>
    </row>
    <row r="156" spans="1:1" x14ac:dyDescent="0.25">
      <c r="A156" s="11"/>
    </row>
    <row r="157" spans="1:1" x14ac:dyDescent="0.25">
      <c r="A157" s="11"/>
    </row>
    <row r="158" spans="1:1" x14ac:dyDescent="0.25">
      <c r="A158" s="11"/>
    </row>
    <row r="159" spans="1:1" x14ac:dyDescent="0.25">
      <c r="A159" s="11"/>
    </row>
    <row r="160" spans="1:1" x14ac:dyDescent="0.25">
      <c r="A160" s="11"/>
    </row>
    <row r="161" spans="1:1" x14ac:dyDescent="0.25">
      <c r="A161" s="11"/>
    </row>
    <row r="162" spans="1:1" x14ac:dyDescent="0.25">
      <c r="A162" s="11"/>
    </row>
    <row r="163" spans="1:1" x14ac:dyDescent="0.25">
      <c r="A163" s="11"/>
    </row>
    <row r="164" spans="1:1" x14ac:dyDescent="0.25">
      <c r="A164" s="11"/>
    </row>
    <row r="165" spans="1:1" x14ac:dyDescent="0.25">
      <c r="A165" s="11"/>
    </row>
    <row r="166" spans="1:1" x14ac:dyDescent="0.25">
      <c r="A166" s="11"/>
    </row>
    <row r="167" spans="1:1" x14ac:dyDescent="0.25">
      <c r="A167" s="11"/>
    </row>
    <row r="168" spans="1:1" x14ac:dyDescent="0.25">
      <c r="A168" s="11"/>
    </row>
    <row r="169" spans="1:1" x14ac:dyDescent="0.25">
      <c r="A169" s="11"/>
    </row>
    <row r="170" spans="1:1" x14ac:dyDescent="0.25">
      <c r="A170" s="11"/>
    </row>
    <row r="171" spans="1:1" x14ac:dyDescent="0.25">
      <c r="A171" s="11"/>
    </row>
    <row r="172" spans="1:1" x14ac:dyDescent="0.25">
      <c r="A172" s="11"/>
    </row>
    <row r="173" spans="1:1" x14ac:dyDescent="0.25">
      <c r="A173" s="11"/>
    </row>
    <row r="174" spans="1:1" x14ac:dyDescent="0.25">
      <c r="A174" s="11"/>
    </row>
    <row r="175" spans="1:1" x14ac:dyDescent="0.25">
      <c r="A175" s="11"/>
    </row>
    <row r="176" spans="1:1" x14ac:dyDescent="0.25">
      <c r="A176" s="11"/>
    </row>
    <row r="177" spans="1:1" x14ac:dyDescent="0.25">
      <c r="A177" s="11"/>
    </row>
    <row r="178" spans="1:1" x14ac:dyDescent="0.25">
      <c r="A178" s="11"/>
    </row>
    <row r="179" spans="1:1" x14ac:dyDescent="0.25">
      <c r="A179" s="11"/>
    </row>
    <row r="180" spans="1:1" x14ac:dyDescent="0.25">
      <c r="A180" s="11"/>
    </row>
    <row r="181" spans="1:1" x14ac:dyDescent="0.25">
      <c r="A181" s="11"/>
    </row>
    <row r="182" spans="1:1" x14ac:dyDescent="0.25">
      <c r="A182" s="11"/>
    </row>
    <row r="183" spans="1:1" x14ac:dyDescent="0.25">
      <c r="A183" s="11"/>
    </row>
    <row r="184" spans="1:1" x14ac:dyDescent="0.25">
      <c r="A184" s="11"/>
    </row>
    <row r="185" spans="1:1" x14ac:dyDescent="0.25">
      <c r="A185" s="11"/>
    </row>
    <row r="186" spans="1:1" x14ac:dyDescent="0.25">
      <c r="A186" s="11"/>
    </row>
    <row r="187" spans="1:1" x14ac:dyDescent="0.25">
      <c r="A187" s="11"/>
    </row>
    <row r="188" spans="1:1" x14ac:dyDescent="0.25">
      <c r="A188" s="11"/>
    </row>
    <row r="189" spans="1:1" x14ac:dyDescent="0.25">
      <c r="A189" s="11"/>
    </row>
    <row r="190" spans="1:1" x14ac:dyDescent="0.25">
      <c r="A190" s="11"/>
    </row>
    <row r="191" spans="1:1" x14ac:dyDescent="0.25">
      <c r="A191" s="11"/>
    </row>
    <row r="192" spans="1:1" x14ac:dyDescent="0.25">
      <c r="A192" s="11"/>
    </row>
    <row r="193" spans="1:1" x14ac:dyDescent="0.25">
      <c r="A193" s="11"/>
    </row>
    <row r="194" spans="1:1" x14ac:dyDescent="0.25">
      <c r="A194" s="11"/>
    </row>
    <row r="195" spans="1:1" x14ac:dyDescent="0.25">
      <c r="A195" s="11"/>
    </row>
    <row r="196" spans="1:1" x14ac:dyDescent="0.25">
      <c r="A196" s="11"/>
    </row>
    <row r="197" spans="1:1" x14ac:dyDescent="0.25">
      <c r="A197" s="11"/>
    </row>
    <row r="198" spans="1:1" x14ac:dyDescent="0.25">
      <c r="A198" s="11"/>
    </row>
    <row r="199" spans="1:1" x14ac:dyDescent="0.25">
      <c r="A199" s="11"/>
    </row>
    <row r="200" spans="1:1" x14ac:dyDescent="0.25">
      <c r="A200" s="11"/>
    </row>
    <row r="201" spans="1:1" x14ac:dyDescent="0.25">
      <c r="A201" s="11"/>
    </row>
    <row r="202" spans="1:1" x14ac:dyDescent="0.25">
      <c r="A202" s="11"/>
    </row>
    <row r="203" spans="1:1" x14ac:dyDescent="0.25">
      <c r="A203" s="11"/>
    </row>
    <row r="204" spans="1:1" x14ac:dyDescent="0.25">
      <c r="A204" s="11"/>
    </row>
    <row r="205" spans="1:1" x14ac:dyDescent="0.25">
      <c r="A205" s="11"/>
    </row>
    <row r="206" spans="1:1" x14ac:dyDescent="0.25">
      <c r="A206" s="11"/>
    </row>
    <row r="207" spans="1:1" x14ac:dyDescent="0.25">
      <c r="A207" s="11"/>
    </row>
    <row r="208" spans="1:1" x14ac:dyDescent="0.25">
      <c r="A208" s="11"/>
    </row>
    <row r="209" spans="1:1" x14ac:dyDescent="0.25">
      <c r="A209" s="11"/>
    </row>
    <row r="210" spans="1:1" x14ac:dyDescent="0.25">
      <c r="A210" s="11"/>
    </row>
    <row r="211" spans="1:1" x14ac:dyDescent="0.25">
      <c r="A211" s="11"/>
    </row>
    <row r="212" spans="1:1" x14ac:dyDescent="0.25">
      <c r="A212" s="11"/>
    </row>
    <row r="213" spans="1:1" x14ac:dyDescent="0.25">
      <c r="A213" s="11"/>
    </row>
    <row r="214" spans="1:1" x14ac:dyDescent="0.25">
      <c r="A214" s="11"/>
    </row>
    <row r="215" spans="1:1" x14ac:dyDescent="0.25">
      <c r="A215" s="11"/>
    </row>
    <row r="216" spans="1:1" x14ac:dyDescent="0.25">
      <c r="A216" s="11"/>
    </row>
    <row r="217" spans="1:1" x14ac:dyDescent="0.25">
      <c r="A217" s="11"/>
    </row>
    <row r="218" spans="1:1" x14ac:dyDescent="0.25">
      <c r="A218" s="11"/>
    </row>
    <row r="219" spans="1:1" x14ac:dyDescent="0.25">
      <c r="A219" s="11"/>
    </row>
    <row r="220" spans="1:1" x14ac:dyDescent="0.25">
      <c r="A220" s="11"/>
    </row>
    <row r="221" spans="1:1" x14ac:dyDescent="0.25">
      <c r="A221" s="11"/>
    </row>
    <row r="222" spans="1:1" x14ac:dyDescent="0.25">
      <c r="A222" s="11"/>
    </row>
    <row r="223" spans="1:1" x14ac:dyDescent="0.25">
      <c r="A223" s="11"/>
    </row>
    <row r="224" spans="1:1" x14ac:dyDescent="0.25">
      <c r="A224" s="11"/>
    </row>
    <row r="225" spans="1:1" x14ac:dyDescent="0.25">
      <c r="A225" s="11"/>
    </row>
    <row r="226" spans="1:1" x14ac:dyDescent="0.25">
      <c r="A226" s="11"/>
    </row>
    <row r="227" spans="1:1" x14ac:dyDescent="0.25">
      <c r="A227" s="11"/>
    </row>
    <row r="228" spans="1:1" x14ac:dyDescent="0.25">
      <c r="A228" s="11"/>
    </row>
    <row r="229" spans="1:1" x14ac:dyDescent="0.25">
      <c r="A229" s="11"/>
    </row>
    <row r="230" spans="1:1" x14ac:dyDescent="0.25">
      <c r="A230" s="11"/>
    </row>
    <row r="231" spans="1:1" x14ac:dyDescent="0.25">
      <c r="A231" s="11"/>
    </row>
    <row r="232" spans="1:1" x14ac:dyDescent="0.25">
      <c r="A232" s="11"/>
    </row>
    <row r="233" spans="1:1" x14ac:dyDescent="0.25">
      <c r="A233" s="11"/>
    </row>
    <row r="234" spans="1:1" x14ac:dyDescent="0.25">
      <c r="A234" s="11"/>
    </row>
    <row r="235" spans="1:1" x14ac:dyDescent="0.25">
      <c r="A235" s="11"/>
    </row>
    <row r="236" spans="1:1" x14ac:dyDescent="0.25">
      <c r="A236" s="11"/>
    </row>
    <row r="237" spans="1:1" x14ac:dyDescent="0.25">
      <c r="A237" s="11"/>
    </row>
    <row r="238" spans="1:1" x14ac:dyDescent="0.25">
      <c r="A238" s="11"/>
    </row>
    <row r="239" spans="1:1" x14ac:dyDescent="0.25">
      <c r="A239" s="11"/>
    </row>
    <row r="240" spans="1:1" x14ac:dyDescent="0.25">
      <c r="A240" s="11"/>
    </row>
    <row r="241" spans="1:1" x14ac:dyDescent="0.25">
      <c r="A241" s="11"/>
    </row>
    <row r="242" spans="1:1" x14ac:dyDescent="0.25">
      <c r="A242" s="11"/>
    </row>
    <row r="243" spans="1:1" x14ac:dyDescent="0.25">
      <c r="A243" s="11"/>
    </row>
    <row r="244" spans="1:1" x14ac:dyDescent="0.25">
      <c r="A244" s="11"/>
    </row>
    <row r="245" spans="1:1" x14ac:dyDescent="0.25">
      <c r="A245" s="11"/>
    </row>
    <row r="246" spans="1:1" x14ac:dyDescent="0.25">
      <c r="A246" s="11"/>
    </row>
    <row r="247" spans="1:1" x14ac:dyDescent="0.25">
      <c r="A247" s="11"/>
    </row>
    <row r="248" spans="1:1" x14ac:dyDescent="0.25">
      <c r="A248" s="11"/>
    </row>
    <row r="249" spans="1:1" x14ac:dyDescent="0.25">
      <c r="A249" s="11"/>
    </row>
    <row r="250" spans="1:1" x14ac:dyDescent="0.25">
      <c r="A250" s="11"/>
    </row>
    <row r="251" spans="1:1" x14ac:dyDescent="0.25">
      <c r="A251" s="11"/>
    </row>
    <row r="252" spans="1:1" x14ac:dyDescent="0.25">
      <c r="A252" s="11"/>
    </row>
    <row r="253" spans="1:1" x14ac:dyDescent="0.25">
      <c r="A253" s="11"/>
    </row>
    <row r="254" spans="1:1" x14ac:dyDescent="0.25">
      <c r="A254" s="11"/>
    </row>
    <row r="255" spans="1:1" x14ac:dyDescent="0.25">
      <c r="A255" s="11"/>
    </row>
    <row r="256" spans="1:1" x14ac:dyDescent="0.25">
      <c r="A256" s="11"/>
    </row>
    <row r="257" spans="1:1" x14ac:dyDescent="0.25">
      <c r="A257" s="11"/>
    </row>
    <row r="258" spans="1:1" x14ac:dyDescent="0.25">
      <c r="A258" s="11"/>
    </row>
    <row r="259" spans="1:1" x14ac:dyDescent="0.25">
      <c r="A259" s="11"/>
    </row>
    <row r="260" spans="1:1" x14ac:dyDescent="0.25">
      <c r="A260" s="11"/>
    </row>
    <row r="261" spans="1:1" x14ac:dyDescent="0.25">
      <c r="A261" s="11"/>
    </row>
    <row r="262" spans="1:1" x14ac:dyDescent="0.25">
      <c r="A262" s="11"/>
    </row>
    <row r="263" spans="1:1" x14ac:dyDescent="0.25">
      <c r="A263" s="11"/>
    </row>
    <row r="264" spans="1:1" x14ac:dyDescent="0.25">
      <c r="A264" s="11"/>
    </row>
    <row r="265" spans="1:1" x14ac:dyDescent="0.25">
      <c r="A265" s="11"/>
    </row>
    <row r="266" spans="1:1" x14ac:dyDescent="0.25">
      <c r="A266" s="11"/>
    </row>
    <row r="267" spans="1:1" x14ac:dyDescent="0.25">
      <c r="A267" s="11"/>
    </row>
    <row r="268" spans="1:1" x14ac:dyDescent="0.25">
      <c r="A268" s="11"/>
    </row>
    <row r="269" spans="1:1" x14ac:dyDescent="0.25">
      <c r="A269" s="11"/>
    </row>
    <row r="270" spans="1:1" x14ac:dyDescent="0.25">
      <c r="A270" s="11"/>
    </row>
    <row r="271" spans="1:1" x14ac:dyDescent="0.25">
      <c r="A271" s="11"/>
    </row>
    <row r="272" spans="1:1" x14ac:dyDescent="0.25">
      <c r="A272" s="11"/>
    </row>
    <row r="273" spans="1:1" x14ac:dyDescent="0.25">
      <c r="A273" s="11"/>
    </row>
    <row r="274" spans="1:1" x14ac:dyDescent="0.25">
      <c r="A274" s="11"/>
    </row>
    <row r="275" spans="1:1" x14ac:dyDescent="0.25">
      <c r="A275" s="11"/>
    </row>
    <row r="276" spans="1:1" x14ac:dyDescent="0.25">
      <c r="A276" s="11"/>
    </row>
    <row r="277" spans="1:1" x14ac:dyDescent="0.25">
      <c r="A277" s="11"/>
    </row>
    <row r="278" spans="1:1" x14ac:dyDescent="0.25">
      <c r="A278" s="11"/>
    </row>
    <row r="279" spans="1:1" x14ac:dyDescent="0.25">
      <c r="A279" s="11"/>
    </row>
    <row r="280" spans="1:1" x14ac:dyDescent="0.25">
      <c r="A280" s="11"/>
    </row>
    <row r="281" spans="1:1" x14ac:dyDescent="0.25">
      <c r="A281" s="11"/>
    </row>
    <row r="282" spans="1:1" x14ac:dyDescent="0.25">
      <c r="A282" s="11"/>
    </row>
    <row r="283" spans="1:1" x14ac:dyDescent="0.25">
      <c r="A283" s="11"/>
    </row>
    <row r="284" spans="1:1" x14ac:dyDescent="0.25">
      <c r="A284" s="11"/>
    </row>
    <row r="285" spans="1:1" x14ac:dyDescent="0.25">
      <c r="A285" s="11"/>
    </row>
    <row r="286" spans="1:1" x14ac:dyDescent="0.25">
      <c r="A286" s="11"/>
    </row>
    <row r="287" spans="1:1" x14ac:dyDescent="0.25">
      <c r="A287" s="11"/>
    </row>
    <row r="288" spans="1:1" x14ac:dyDescent="0.25">
      <c r="A288" s="11"/>
    </row>
    <row r="289" spans="1:1" x14ac:dyDescent="0.25">
      <c r="A289" s="11"/>
    </row>
    <row r="290" spans="1:1" x14ac:dyDescent="0.25">
      <c r="A290" s="11"/>
    </row>
    <row r="291" spans="1:1" x14ac:dyDescent="0.25">
      <c r="A291" s="11"/>
    </row>
    <row r="292" spans="1:1" x14ac:dyDescent="0.25">
      <c r="A292" s="11"/>
    </row>
    <row r="293" spans="1:1" x14ac:dyDescent="0.25">
      <c r="A293" s="11"/>
    </row>
    <row r="294" spans="1:1" x14ac:dyDescent="0.25">
      <c r="A294" s="11"/>
    </row>
    <row r="295" spans="1:1" x14ac:dyDescent="0.25">
      <c r="A295" s="11"/>
    </row>
    <row r="296" spans="1:1" x14ac:dyDescent="0.25">
      <c r="A296" s="11"/>
    </row>
    <row r="297" spans="1:1" x14ac:dyDescent="0.25">
      <c r="A297" s="11"/>
    </row>
    <row r="298" spans="1:1" x14ac:dyDescent="0.25">
      <c r="A298" s="11"/>
    </row>
    <row r="299" spans="1:1" x14ac:dyDescent="0.25">
      <c r="A299" s="11"/>
    </row>
    <row r="300" spans="1:1" x14ac:dyDescent="0.25">
      <c r="A300" s="11"/>
    </row>
    <row r="301" spans="1:1" x14ac:dyDescent="0.25">
      <c r="A301" s="11"/>
    </row>
    <row r="302" spans="1:1" x14ac:dyDescent="0.25">
      <c r="A302" s="11"/>
    </row>
    <row r="303" spans="1:1" x14ac:dyDescent="0.25">
      <c r="A303" s="11"/>
    </row>
    <row r="304" spans="1:1" x14ac:dyDescent="0.25">
      <c r="A304" s="11"/>
    </row>
    <row r="305" spans="1:1" x14ac:dyDescent="0.25">
      <c r="A305" s="11"/>
    </row>
    <row r="306" spans="1:1" x14ac:dyDescent="0.25">
      <c r="A306" s="11"/>
    </row>
    <row r="307" spans="1:1" x14ac:dyDescent="0.25">
      <c r="A307" s="11"/>
    </row>
    <row r="308" spans="1:1" x14ac:dyDescent="0.25">
      <c r="A308" s="11"/>
    </row>
    <row r="309" spans="1:1" x14ac:dyDescent="0.25">
      <c r="A309" s="11"/>
    </row>
    <row r="310" spans="1:1" x14ac:dyDescent="0.25">
      <c r="A310" s="11"/>
    </row>
    <row r="311" spans="1:1" x14ac:dyDescent="0.25">
      <c r="A311" s="11"/>
    </row>
    <row r="312" spans="1:1" x14ac:dyDescent="0.25">
      <c r="A312" s="11"/>
    </row>
    <row r="313" spans="1:1" x14ac:dyDescent="0.25">
      <c r="A313" s="11"/>
    </row>
    <row r="314" spans="1:1" x14ac:dyDescent="0.25">
      <c r="A314" s="11"/>
    </row>
    <row r="315" spans="1:1" x14ac:dyDescent="0.25">
      <c r="A315" s="11"/>
    </row>
    <row r="316" spans="1:1" x14ac:dyDescent="0.25">
      <c r="A316" s="11"/>
    </row>
    <row r="317" spans="1:1" x14ac:dyDescent="0.25">
      <c r="A317" s="11"/>
    </row>
    <row r="318" spans="1:1" x14ac:dyDescent="0.25">
      <c r="A318" s="11"/>
    </row>
    <row r="319" spans="1:1" x14ac:dyDescent="0.25">
      <c r="A319" s="11"/>
    </row>
    <row r="320" spans="1:1" x14ac:dyDescent="0.25">
      <c r="A320" s="11"/>
    </row>
    <row r="321" spans="1:1" x14ac:dyDescent="0.25">
      <c r="A321" s="11"/>
    </row>
    <row r="322" spans="1:1" x14ac:dyDescent="0.25">
      <c r="A322" s="11"/>
    </row>
    <row r="323" spans="1:1" x14ac:dyDescent="0.25">
      <c r="A323" s="11"/>
    </row>
    <row r="324" spans="1:1" x14ac:dyDescent="0.25">
      <c r="A324" s="11"/>
    </row>
    <row r="325" spans="1:1" x14ac:dyDescent="0.25">
      <c r="A325" s="11"/>
    </row>
    <row r="326" spans="1:1" x14ac:dyDescent="0.25">
      <c r="A326" s="11"/>
    </row>
    <row r="327" spans="1:1" x14ac:dyDescent="0.25">
      <c r="A327" s="11"/>
    </row>
    <row r="328" spans="1:1" x14ac:dyDescent="0.25">
      <c r="A328" s="11"/>
    </row>
    <row r="329" spans="1:1" x14ac:dyDescent="0.25">
      <c r="A329" s="11"/>
    </row>
    <row r="330" spans="1:1" x14ac:dyDescent="0.25">
      <c r="A330" s="11"/>
    </row>
    <row r="331" spans="1:1" x14ac:dyDescent="0.25">
      <c r="A331" s="11"/>
    </row>
    <row r="332" spans="1:1" x14ac:dyDescent="0.25">
      <c r="A332" s="11"/>
    </row>
    <row r="333" spans="1:1" x14ac:dyDescent="0.25">
      <c r="A333" s="11"/>
    </row>
    <row r="334" spans="1:1" x14ac:dyDescent="0.25">
      <c r="A334" s="11"/>
    </row>
    <row r="335" spans="1:1" x14ac:dyDescent="0.25">
      <c r="A335" s="11"/>
    </row>
    <row r="336" spans="1:1" x14ac:dyDescent="0.25">
      <c r="A336" s="11"/>
    </row>
    <row r="337" spans="1:1" x14ac:dyDescent="0.25">
      <c r="A337" s="11"/>
    </row>
    <row r="338" spans="1:1" x14ac:dyDescent="0.25">
      <c r="A338" s="11"/>
    </row>
    <row r="339" spans="1:1" x14ac:dyDescent="0.25">
      <c r="A339" s="11"/>
    </row>
    <row r="340" spans="1:1" x14ac:dyDescent="0.25">
      <c r="A340" s="11"/>
    </row>
    <row r="341" spans="1:1" x14ac:dyDescent="0.25">
      <c r="A341" s="11"/>
    </row>
    <row r="342" spans="1:1" x14ac:dyDescent="0.25">
      <c r="A342" s="11"/>
    </row>
    <row r="343" spans="1:1" x14ac:dyDescent="0.25">
      <c r="A343" s="11"/>
    </row>
    <row r="344" spans="1:1" x14ac:dyDescent="0.25">
      <c r="A344" s="11"/>
    </row>
    <row r="345" spans="1:1" x14ac:dyDescent="0.25">
      <c r="A345" s="11"/>
    </row>
    <row r="346" spans="1:1" x14ac:dyDescent="0.25">
      <c r="A346" s="11"/>
    </row>
    <row r="347" spans="1:1" x14ac:dyDescent="0.25">
      <c r="A347" s="11"/>
    </row>
    <row r="348" spans="1:1" x14ac:dyDescent="0.25">
      <c r="A348" s="11"/>
    </row>
    <row r="349" spans="1:1" x14ac:dyDescent="0.25">
      <c r="A349" s="11"/>
    </row>
    <row r="350" spans="1:1" x14ac:dyDescent="0.25">
      <c r="A350" s="11"/>
    </row>
    <row r="351" spans="1:1" x14ac:dyDescent="0.25">
      <c r="A351" s="11"/>
    </row>
    <row r="352" spans="1:1" x14ac:dyDescent="0.25">
      <c r="A352" s="11"/>
    </row>
    <row r="353" spans="1:1" x14ac:dyDescent="0.25">
      <c r="A353" s="11"/>
    </row>
    <row r="354" spans="1:1" x14ac:dyDescent="0.25">
      <c r="A354" s="11"/>
    </row>
    <row r="355" spans="1:1" x14ac:dyDescent="0.25">
      <c r="A355" s="11"/>
    </row>
    <row r="356" spans="1:1" x14ac:dyDescent="0.25">
      <c r="A356" s="11"/>
    </row>
    <row r="357" spans="1:1" x14ac:dyDescent="0.25">
      <c r="A357" s="11"/>
    </row>
    <row r="358" spans="1:1" x14ac:dyDescent="0.25">
      <c r="A358" s="11"/>
    </row>
    <row r="359" spans="1:1" x14ac:dyDescent="0.25">
      <c r="A359" s="11"/>
    </row>
    <row r="360" spans="1:1" x14ac:dyDescent="0.25">
      <c r="A360" s="11"/>
    </row>
    <row r="361" spans="1:1" x14ac:dyDescent="0.25">
      <c r="A361" s="11"/>
    </row>
    <row r="362" spans="1:1" x14ac:dyDescent="0.25">
      <c r="A362" s="11"/>
    </row>
    <row r="363" spans="1:1" x14ac:dyDescent="0.25">
      <c r="A363" s="11"/>
    </row>
    <row r="364" spans="1:1" x14ac:dyDescent="0.25">
      <c r="A364" s="11"/>
    </row>
    <row r="365" spans="1:1" x14ac:dyDescent="0.25">
      <c r="A365" s="11"/>
    </row>
    <row r="366" spans="1:1" x14ac:dyDescent="0.25">
      <c r="A366" s="11"/>
    </row>
    <row r="367" spans="1:1" x14ac:dyDescent="0.25">
      <c r="A367" s="11"/>
    </row>
    <row r="368" spans="1:1" x14ac:dyDescent="0.25">
      <c r="A368" s="11"/>
    </row>
    <row r="369" spans="1:1" x14ac:dyDescent="0.25">
      <c r="A369" s="11"/>
    </row>
    <row r="370" spans="1:1" x14ac:dyDescent="0.25">
      <c r="A370" s="11"/>
    </row>
    <row r="371" spans="1:1" x14ac:dyDescent="0.25">
      <c r="A371" s="11"/>
    </row>
    <row r="372" spans="1:1" x14ac:dyDescent="0.25">
      <c r="A372" s="11"/>
    </row>
    <row r="373" spans="1:1" x14ac:dyDescent="0.25">
      <c r="A373" s="11"/>
    </row>
    <row r="374" spans="1:1" x14ac:dyDescent="0.25">
      <c r="A374" s="11"/>
    </row>
    <row r="375" spans="1:1" x14ac:dyDescent="0.25">
      <c r="A375" s="11"/>
    </row>
    <row r="376" spans="1:1" x14ac:dyDescent="0.25">
      <c r="A376" s="11"/>
    </row>
    <row r="377" spans="1:1" x14ac:dyDescent="0.25">
      <c r="A377" s="11"/>
    </row>
    <row r="378" spans="1:1" x14ac:dyDescent="0.25">
      <c r="A378" s="11"/>
    </row>
    <row r="379" spans="1:1" x14ac:dyDescent="0.25">
      <c r="A379" s="11"/>
    </row>
    <row r="380" spans="1:1" x14ac:dyDescent="0.25">
      <c r="A380" s="11"/>
    </row>
    <row r="381" spans="1:1" x14ac:dyDescent="0.25">
      <c r="A381" s="11"/>
    </row>
    <row r="382" spans="1:1" x14ac:dyDescent="0.25">
      <c r="A382" s="11"/>
    </row>
  </sheetData>
  <pageMargins left="0.39370078740157483" right="0.39370078740157483" top="0.39370078740157483" bottom="0.39370078740157483"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opLeftCell="A25" workbookViewId="0">
      <selection activeCell="B51" sqref="B51"/>
    </sheetView>
  </sheetViews>
  <sheetFormatPr defaultColWidth="8.7109375" defaultRowHeight="15.75" x14ac:dyDescent="0.25"/>
  <cols>
    <col min="1" max="1" width="49.7109375" style="18" bestFit="1" customWidth="1"/>
    <col min="2" max="2" width="22.85546875" style="18" bestFit="1" customWidth="1"/>
    <col min="3" max="3" width="65.140625" style="18" bestFit="1" customWidth="1"/>
    <col min="4" max="4" width="14.28515625" style="18" bestFit="1" customWidth="1"/>
    <col min="5" max="5" width="8.85546875" style="18" bestFit="1" customWidth="1"/>
    <col min="6" max="6" width="13.42578125" style="18" bestFit="1" customWidth="1"/>
    <col min="7" max="7" width="9" style="18" bestFit="1" customWidth="1"/>
    <col min="8" max="8" width="10.140625" style="18" bestFit="1" customWidth="1"/>
    <col min="9" max="9" width="9" style="18" bestFit="1" customWidth="1"/>
    <col min="10" max="10" width="8.85546875" style="18" bestFit="1" customWidth="1"/>
    <col min="11" max="11" width="8.7109375" style="18"/>
    <col min="12" max="12" width="9" style="18" bestFit="1" customWidth="1"/>
    <col min="13" max="16384" width="8.7109375" style="18"/>
  </cols>
  <sheetData>
    <row r="1" spans="1:3" x14ac:dyDescent="0.25">
      <c r="A1" s="16" t="s">
        <v>306</v>
      </c>
      <c r="B1" s="17">
        <v>20000</v>
      </c>
      <c r="C1" s="16"/>
    </row>
    <row r="2" spans="1:3" x14ac:dyDescent="0.25">
      <c r="A2" s="16" t="s">
        <v>307</v>
      </c>
      <c r="B2" s="19">
        <v>0</v>
      </c>
      <c r="C2" s="16"/>
    </row>
    <row r="3" spans="1:3" x14ac:dyDescent="0.25">
      <c r="A3" s="16" t="s">
        <v>308</v>
      </c>
      <c r="B3" s="19">
        <v>0</v>
      </c>
      <c r="C3" s="16"/>
    </row>
    <row r="4" spans="1:3" x14ac:dyDescent="0.25">
      <c r="A4" s="16" t="s">
        <v>309</v>
      </c>
      <c r="B4" s="19">
        <v>0</v>
      </c>
      <c r="C4" s="16" t="s">
        <v>310</v>
      </c>
    </row>
    <row r="5" spans="1:3" x14ac:dyDescent="0.25">
      <c r="A5" s="16" t="s">
        <v>309</v>
      </c>
      <c r="B5" s="19">
        <v>0</v>
      </c>
      <c r="C5" s="16" t="s">
        <v>311</v>
      </c>
    </row>
    <row r="6" spans="1:3" x14ac:dyDescent="0.25">
      <c r="A6" s="16" t="s">
        <v>309</v>
      </c>
      <c r="B6" s="19">
        <v>0</v>
      </c>
      <c r="C6" s="16" t="s">
        <v>312</v>
      </c>
    </row>
    <row r="7" spans="1:3" s="23" customFormat="1" ht="18.75" x14ac:dyDescent="0.3">
      <c r="A7" s="20" t="s">
        <v>313</v>
      </c>
      <c r="B7" s="21">
        <f>SUM(B1:B6)</f>
        <v>20000</v>
      </c>
      <c r="C7" s="22" t="s">
        <v>314</v>
      </c>
    </row>
    <row r="8" spans="1:3" x14ac:dyDescent="0.25">
      <c r="A8" s="16" t="s">
        <v>315</v>
      </c>
      <c r="B8" s="19">
        <f>B7</f>
        <v>20000</v>
      </c>
      <c r="C8" s="16" t="s">
        <v>316</v>
      </c>
    </row>
    <row r="9" spans="1:3" x14ac:dyDescent="0.25">
      <c r="A9" s="16" t="s">
        <v>317</v>
      </c>
      <c r="B9" s="24">
        <v>0.45</v>
      </c>
      <c r="C9" s="25"/>
    </row>
    <row r="10" spans="1:3" s="23" customFormat="1" ht="18.75" x14ac:dyDescent="0.3">
      <c r="A10" s="20" t="s">
        <v>318</v>
      </c>
      <c r="B10" s="26">
        <f>B8*B9</f>
        <v>9000</v>
      </c>
      <c r="C10" s="22" t="s">
        <v>314</v>
      </c>
    </row>
    <row r="11" spans="1:3" x14ac:dyDescent="0.25">
      <c r="A11" s="16" t="s">
        <v>319</v>
      </c>
      <c r="B11" s="19">
        <f>B7-B8</f>
        <v>0</v>
      </c>
      <c r="C11" s="16"/>
    </row>
    <row r="12" spans="1:3" x14ac:dyDescent="0.25">
      <c r="A12" s="16" t="s">
        <v>320</v>
      </c>
      <c r="B12" s="27">
        <v>0</v>
      </c>
      <c r="C12" s="16"/>
    </row>
    <row r="13" spans="1:3" s="23" customFormat="1" ht="18.75" x14ac:dyDescent="0.3">
      <c r="A13" s="20" t="s">
        <v>321</v>
      </c>
      <c r="B13" s="26">
        <f>B11*B12</f>
        <v>0</v>
      </c>
      <c r="C13" s="22" t="s">
        <v>314</v>
      </c>
    </row>
    <row r="14" spans="1:3" ht="21" x14ac:dyDescent="0.35">
      <c r="A14" s="28" t="s">
        <v>322</v>
      </c>
      <c r="B14" s="29">
        <f>B10+B13</f>
        <v>9000</v>
      </c>
      <c r="C14" s="16" t="s">
        <v>314</v>
      </c>
    </row>
    <row r="15" spans="1:3" x14ac:dyDescent="0.25">
      <c r="A15" s="16" t="s">
        <v>323</v>
      </c>
      <c r="B15" s="30">
        <v>15</v>
      </c>
      <c r="C15" s="16"/>
    </row>
    <row r="16" spans="1:3" x14ac:dyDescent="0.25">
      <c r="A16" s="16" t="s">
        <v>324</v>
      </c>
      <c r="B16" s="30">
        <v>0</v>
      </c>
      <c r="C16" s="16"/>
    </row>
    <row r="17" spans="1:12" s="33" customFormat="1" x14ac:dyDescent="0.25">
      <c r="A17" s="31" t="s">
        <v>325</v>
      </c>
      <c r="B17" s="32">
        <v>1140</v>
      </c>
      <c r="C17" s="31" t="s">
        <v>326</v>
      </c>
      <c r="F17" s="34"/>
    </row>
    <row r="18" spans="1:12" x14ac:dyDescent="0.25">
      <c r="A18" s="16" t="s">
        <v>327</v>
      </c>
      <c r="B18" s="32">
        <f>(B14+B17)*1.01*5%</f>
        <v>512.07000000000005</v>
      </c>
      <c r="C18" s="31" t="s">
        <v>354</v>
      </c>
    </row>
    <row r="19" spans="1:12" x14ac:dyDescent="0.25">
      <c r="A19" s="16" t="s">
        <v>328</v>
      </c>
      <c r="B19" s="30">
        <v>15</v>
      </c>
      <c r="C19" s="16" t="s">
        <v>329</v>
      </c>
    </row>
    <row r="20" spans="1:12" x14ac:dyDescent="0.25">
      <c r="A20" s="16" t="s">
        <v>330</v>
      </c>
      <c r="B20" s="35">
        <v>20</v>
      </c>
      <c r="C20" s="16"/>
    </row>
    <row r="21" spans="1:12" x14ac:dyDescent="0.25">
      <c r="A21" s="16" t="s">
        <v>331</v>
      </c>
      <c r="B21" s="16">
        <v>30</v>
      </c>
      <c r="C21" s="16" t="s">
        <v>332</v>
      </c>
    </row>
    <row r="22" spans="1:12" x14ac:dyDescent="0.25">
      <c r="A22" s="16" t="s">
        <v>331</v>
      </c>
      <c r="B22" s="16">
        <f>10*6</f>
        <v>60</v>
      </c>
      <c r="C22" s="16" t="s">
        <v>333</v>
      </c>
    </row>
    <row r="23" spans="1:12" ht="31.5" x14ac:dyDescent="0.25">
      <c r="A23" s="36" t="s">
        <v>334</v>
      </c>
      <c r="B23" s="16">
        <v>0</v>
      </c>
      <c r="C23" s="36" t="s">
        <v>335</v>
      </c>
    </row>
    <row r="24" spans="1:12" s="37" customFormat="1" x14ac:dyDescent="0.25">
      <c r="A24" s="37" t="s">
        <v>336</v>
      </c>
    </row>
    <row r="25" spans="1:12" ht="21" x14ac:dyDescent="0.35">
      <c r="B25" s="38">
        <f>SUM(B14:B24)</f>
        <v>10792.07</v>
      </c>
    </row>
    <row r="27" spans="1:12" x14ac:dyDescent="0.25">
      <c r="A27" s="39" t="s">
        <v>337</v>
      </c>
      <c r="B27" s="39">
        <f>B25/B1</f>
        <v>0.53960350000000001</v>
      </c>
      <c r="C27" s="39" t="s">
        <v>314</v>
      </c>
    </row>
    <row r="28" spans="1:12" ht="30.95" customHeight="1" x14ac:dyDescent="0.25">
      <c r="B28" s="40" t="s">
        <v>338</v>
      </c>
      <c r="C28" s="18" t="s">
        <v>339</v>
      </c>
      <c r="D28" s="40" t="s">
        <v>340</v>
      </c>
      <c r="E28" s="40" t="s">
        <v>341</v>
      </c>
      <c r="F28" s="40" t="s">
        <v>342</v>
      </c>
      <c r="G28" s="18" t="s">
        <v>339</v>
      </c>
      <c r="H28" s="40" t="s">
        <v>343</v>
      </c>
      <c r="K28" s="41"/>
      <c r="L28" s="41"/>
    </row>
    <row r="29" spans="1:12" ht="21" x14ac:dyDescent="0.35">
      <c r="A29" s="18" t="s">
        <v>344</v>
      </c>
      <c r="B29" s="42">
        <f>B1/C29</f>
        <v>357.14285714285717</v>
      </c>
      <c r="C29" s="18">
        <v>56</v>
      </c>
      <c r="D29" s="42">
        <f>B29*C29</f>
        <v>20000</v>
      </c>
      <c r="E29" s="18">
        <f>B27</f>
        <v>0.53960350000000001</v>
      </c>
      <c r="F29" s="43">
        <f>B29*E29</f>
        <v>192.71553571428572</v>
      </c>
      <c r="G29" s="18">
        <v>56</v>
      </c>
      <c r="H29" s="44">
        <f>F29*G29</f>
        <v>10792.07</v>
      </c>
      <c r="K29" s="41"/>
      <c r="L29" s="41"/>
    </row>
    <row r="30" spans="1:12" x14ac:dyDescent="0.25">
      <c r="D30" s="45">
        <f>SUM(D29:D29)</f>
        <v>20000</v>
      </c>
      <c r="H30" s="45">
        <f>SUM(H29:H29)</f>
        <v>10792.07</v>
      </c>
    </row>
    <row r="32" spans="1:12" x14ac:dyDescent="0.25">
      <c r="A32" s="2" t="s">
        <v>345</v>
      </c>
      <c r="B32" s="46">
        <f>H30</f>
        <v>10792.07</v>
      </c>
    </row>
    <row r="33" spans="1:3" x14ac:dyDescent="0.25">
      <c r="A33" t="s">
        <v>346</v>
      </c>
      <c r="B33" s="47">
        <f>B32/56</f>
        <v>192.71553571428572</v>
      </c>
      <c r="C33" s="18">
        <v>251</v>
      </c>
    </row>
    <row r="34" spans="1:3" x14ac:dyDescent="0.25">
      <c r="A34" t="s">
        <v>347</v>
      </c>
      <c r="B34" s="47">
        <f>B33/1.63/3.66</f>
        <v>32.303385248296244</v>
      </c>
      <c r="C34" s="18">
        <v>33</v>
      </c>
    </row>
    <row r="35" spans="1:3" ht="18.75" x14ac:dyDescent="0.3">
      <c r="A35" s="2" t="s">
        <v>348</v>
      </c>
      <c r="B35" s="46">
        <f>B34*0.75</f>
        <v>24.227538936222182</v>
      </c>
      <c r="C35" s="48">
        <v>25</v>
      </c>
    </row>
    <row r="36" spans="1:3" ht="18.75" x14ac:dyDescent="0.3">
      <c r="A36" s="2" t="s">
        <v>353</v>
      </c>
      <c r="B36" s="46">
        <f>B34*0.81</f>
        <v>26.16574205111996</v>
      </c>
      <c r="C36" s="48">
        <v>27</v>
      </c>
    </row>
    <row r="37" spans="1:3" x14ac:dyDescent="0.25">
      <c r="A37" t="s">
        <v>349</v>
      </c>
      <c r="B37" s="47">
        <f>B34*0.9</f>
        <v>29.073046723466621</v>
      </c>
      <c r="C37" s="18">
        <v>30</v>
      </c>
    </row>
    <row r="38" spans="1:3" x14ac:dyDescent="0.25">
      <c r="A38" t="s">
        <v>350</v>
      </c>
      <c r="B38" s="47">
        <f>B34*1.2</f>
        <v>38.764062297955491</v>
      </c>
      <c r="C38" s="18">
        <v>39</v>
      </c>
    </row>
    <row r="39" spans="1:3" x14ac:dyDescent="0.25">
      <c r="A39"/>
      <c r="B39"/>
    </row>
    <row r="40" spans="1:3" x14ac:dyDescent="0.25">
      <c r="A40" t="s">
        <v>351</v>
      </c>
      <c r="B40" s="49">
        <f>B34*0.06</f>
        <v>1.9382031148977745</v>
      </c>
      <c r="C40" s="18">
        <v>2</v>
      </c>
    </row>
    <row r="42" spans="1:3" x14ac:dyDescent="0.25">
      <c r="A42" t="s">
        <v>352</v>
      </c>
      <c r="B42" s="47">
        <f>B34*0.1</f>
        <v>3.2303385248296248</v>
      </c>
      <c r="C42" s="18">
        <v>3.3</v>
      </c>
    </row>
  </sheetData>
  <printOptions horizontalCentered="1" verticalCentered="1" gridLines="1"/>
  <pageMargins left="0.39370078740157483" right="7.874015748031496E-2" top="1.1811023622047245" bottom="0.39370078740157483" header="1.5748031496062993" footer="0"/>
  <pageSetup paperSize="9" orientation="portrait" horizontalDpi="4294967293" verticalDpi="4294967293" r:id="rId1"/>
  <headerFooter>
    <oddHeader>&amp;C&amp;"-,Bold"&amp;U&amp;F</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8"/>
  <sheetViews>
    <sheetView workbookViewId="0">
      <selection activeCell="A14" sqref="A14"/>
    </sheetView>
  </sheetViews>
  <sheetFormatPr defaultRowHeight="15" x14ac:dyDescent="0.25"/>
  <cols>
    <col min="1" max="1" width="91.42578125" style="12" customWidth="1"/>
  </cols>
  <sheetData>
    <row r="1" spans="1:1" x14ac:dyDescent="0.25">
      <c r="A1" s="14" t="s">
        <v>291</v>
      </c>
    </row>
    <row r="2" spans="1:1" x14ac:dyDescent="0.25">
      <c r="A2" s="11" t="s">
        <v>292</v>
      </c>
    </row>
    <row r="3" spans="1:1" x14ac:dyDescent="0.25">
      <c r="A3" s="11" t="s">
        <v>293</v>
      </c>
    </row>
    <row r="4" spans="1:1" x14ac:dyDescent="0.25">
      <c r="A4" s="11" t="s">
        <v>299</v>
      </c>
    </row>
    <row r="5" spans="1:1" x14ac:dyDescent="0.25">
      <c r="A5" s="15" t="s">
        <v>298</v>
      </c>
    </row>
    <row r="6" spans="1:1" x14ac:dyDescent="0.25">
      <c r="A6" s="11" t="s">
        <v>294</v>
      </c>
    </row>
    <row r="7" spans="1:1" x14ac:dyDescent="0.25">
      <c r="A7" s="11" t="s">
        <v>295</v>
      </c>
    </row>
    <row r="8" spans="1:1" x14ac:dyDescent="0.25">
      <c r="A8" s="11" t="s">
        <v>296</v>
      </c>
    </row>
    <row r="9" spans="1:1" x14ac:dyDescent="0.25">
      <c r="A9" s="11" t="s">
        <v>297</v>
      </c>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1"/>
    </row>
    <row r="110" spans="1:1" x14ac:dyDescent="0.25">
      <c r="A110" s="11"/>
    </row>
    <row r="111" spans="1:1" x14ac:dyDescent="0.25">
      <c r="A111" s="11"/>
    </row>
    <row r="112" spans="1:1" x14ac:dyDescent="0.25">
      <c r="A112" s="11"/>
    </row>
    <row r="113" spans="1:1" x14ac:dyDescent="0.25">
      <c r="A113" s="11"/>
    </row>
    <row r="114" spans="1:1" x14ac:dyDescent="0.25">
      <c r="A114" s="11"/>
    </row>
    <row r="115" spans="1:1" x14ac:dyDescent="0.25">
      <c r="A115" s="11"/>
    </row>
    <row r="116" spans="1:1" x14ac:dyDescent="0.25">
      <c r="A116" s="11"/>
    </row>
    <row r="117" spans="1:1" x14ac:dyDescent="0.25">
      <c r="A117" s="11"/>
    </row>
    <row r="118" spans="1:1" x14ac:dyDescent="0.25">
      <c r="A118" s="11"/>
    </row>
    <row r="119" spans="1:1" x14ac:dyDescent="0.25">
      <c r="A119" s="11"/>
    </row>
    <row r="120" spans="1:1" x14ac:dyDescent="0.25">
      <c r="A120" s="11"/>
    </row>
    <row r="121" spans="1:1" x14ac:dyDescent="0.25">
      <c r="A121" s="11"/>
    </row>
    <row r="122" spans="1:1" x14ac:dyDescent="0.25">
      <c r="A122" s="11"/>
    </row>
    <row r="123" spans="1:1" x14ac:dyDescent="0.25">
      <c r="A123" s="11"/>
    </row>
    <row r="124" spans="1:1" x14ac:dyDescent="0.25">
      <c r="A124" s="11"/>
    </row>
    <row r="125" spans="1:1" x14ac:dyDescent="0.25">
      <c r="A125" s="11"/>
    </row>
    <row r="126" spans="1:1" x14ac:dyDescent="0.25">
      <c r="A126" s="11"/>
    </row>
    <row r="127" spans="1:1" x14ac:dyDescent="0.25">
      <c r="A127" s="11"/>
    </row>
    <row r="128" spans="1:1" x14ac:dyDescent="0.25">
      <c r="A128" s="11"/>
    </row>
    <row r="129" spans="1:1" x14ac:dyDescent="0.25">
      <c r="A129" s="11"/>
    </row>
    <row r="130" spans="1:1" x14ac:dyDescent="0.25">
      <c r="A130" s="11"/>
    </row>
    <row r="131" spans="1:1" x14ac:dyDescent="0.25">
      <c r="A131" s="11"/>
    </row>
    <row r="132" spans="1:1" x14ac:dyDescent="0.25">
      <c r="A132" s="11"/>
    </row>
    <row r="133" spans="1:1" x14ac:dyDescent="0.25">
      <c r="A133" s="11"/>
    </row>
    <row r="134" spans="1:1" x14ac:dyDescent="0.25">
      <c r="A134" s="11"/>
    </row>
    <row r="135" spans="1:1" x14ac:dyDescent="0.25">
      <c r="A135" s="11"/>
    </row>
    <row r="136" spans="1:1" x14ac:dyDescent="0.25">
      <c r="A136" s="11"/>
    </row>
    <row r="137" spans="1:1" x14ac:dyDescent="0.25">
      <c r="A137" s="11"/>
    </row>
    <row r="138" spans="1:1" x14ac:dyDescent="0.25">
      <c r="A138" s="11"/>
    </row>
    <row r="139" spans="1:1" x14ac:dyDescent="0.25">
      <c r="A139" s="11"/>
    </row>
    <row r="140" spans="1:1" x14ac:dyDescent="0.25">
      <c r="A140" s="11"/>
    </row>
    <row r="141" spans="1:1" x14ac:dyDescent="0.25">
      <c r="A141" s="11"/>
    </row>
    <row r="142" spans="1:1" x14ac:dyDescent="0.25">
      <c r="A142" s="11"/>
    </row>
    <row r="143" spans="1:1" x14ac:dyDescent="0.25">
      <c r="A143" s="11"/>
    </row>
    <row r="144" spans="1:1" x14ac:dyDescent="0.25">
      <c r="A144" s="11"/>
    </row>
    <row r="145" spans="1:1" x14ac:dyDescent="0.25">
      <c r="A145" s="11"/>
    </row>
    <row r="146" spans="1:1" x14ac:dyDescent="0.25">
      <c r="A146" s="11"/>
    </row>
    <row r="147" spans="1:1" x14ac:dyDescent="0.25">
      <c r="A147" s="11"/>
    </row>
    <row r="148" spans="1:1" x14ac:dyDescent="0.25">
      <c r="A148" s="11"/>
    </row>
    <row r="149" spans="1:1" x14ac:dyDescent="0.25">
      <c r="A149" s="11"/>
    </row>
    <row r="150" spans="1:1" x14ac:dyDescent="0.25">
      <c r="A150" s="11"/>
    </row>
    <row r="151" spans="1:1" x14ac:dyDescent="0.25">
      <c r="A151" s="11"/>
    </row>
    <row r="152" spans="1:1" x14ac:dyDescent="0.25">
      <c r="A152" s="11"/>
    </row>
    <row r="153" spans="1:1" x14ac:dyDescent="0.25">
      <c r="A153" s="11"/>
    </row>
    <row r="154" spans="1:1" x14ac:dyDescent="0.25">
      <c r="A154" s="11"/>
    </row>
    <row r="155" spans="1:1" x14ac:dyDescent="0.25">
      <c r="A155" s="11"/>
    </row>
    <row r="156" spans="1:1" x14ac:dyDescent="0.25">
      <c r="A156" s="11"/>
    </row>
    <row r="157" spans="1:1" x14ac:dyDescent="0.25">
      <c r="A157" s="11"/>
    </row>
    <row r="158" spans="1:1" x14ac:dyDescent="0.25">
      <c r="A158" s="11"/>
    </row>
    <row r="159" spans="1:1" x14ac:dyDescent="0.25">
      <c r="A159" s="11"/>
    </row>
    <row r="160" spans="1:1" x14ac:dyDescent="0.25">
      <c r="A160" s="11"/>
    </row>
    <row r="161" spans="1:1" x14ac:dyDescent="0.25">
      <c r="A161" s="11"/>
    </row>
    <row r="162" spans="1:1" x14ac:dyDescent="0.25">
      <c r="A162" s="11"/>
    </row>
    <row r="163" spans="1:1" x14ac:dyDescent="0.25">
      <c r="A163" s="11"/>
    </row>
    <row r="164" spans="1:1" x14ac:dyDescent="0.25">
      <c r="A164" s="11"/>
    </row>
    <row r="165" spans="1:1" x14ac:dyDescent="0.25">
      <c r="A165" s="11"/>
    </row>
    <row r="166" spans="1:1" x14ac:dyDescent="0.25">
      <c r="A166" s="11"/>
    </row>
    <row r="167" spans="1:1" x14ac:dyDescent="0.25">
      <c r="A167" s="11"/>
    </row>
    <row r="168" spans="1:1" x14ac:dyDescent="0.25">
      <c r="A168" s="11"/>
    </row>
    <row r="169" spans="1:1" x14ac:dyDescent="0.25">
      <c r="A169" s="11"/>
    </row>
    <row r="170" spans="1:1" x14ac:dyDescent="0.25">
      <c r="A170" s="11"/>
    </row>
    <row r="171" spans="1:1" x14ac:dyDescent="0.25">
      <c r="A171" s="11"/>
    </row>
    <row r="172" spans="1:1" x14ac:dyDescent="0.25">
      <c r="A172" s="11"/>
    </row>
    <row r="173" spans="1:1" x14ac:dyDescent="0.25">
      <c r="A173" s="11"/>
    </row>
    <row r="174" spans="1:1" x14ac:dyDescent="0.25">
      <c r="A174" s="11"/>
    </row>
    <row r="175" spans="1:1" x14ac:dyDescent="0.25">
      <c r="A175" s="11"/>
    </row>
    <row r="176" spans="1:1" x14ac:dyDescent="0.25">
      <c r="A176" s="11"/>
    </row>
    <row r="177" spans="1:1" x14ac:dyDescent="0.25">
      <c r="A177" s="11"/>
    </row>
    <row r="178" spans="1:1" x14ac:dyDescent="0.25">
      <c r="A178" s="11"/>
    </row>
    <row r="179" spans="1:1" x14ac:dyDescent="0.25">
      <c r="A179" s="11"/>
    </row>
    <row r="180" spans="1:1" x14ac:dyDescent="0.25">
      <c r="A180" s="11"/>
    </row>
    <row r="181" spans="1:1" x14ac:dyDescent="0.25">
      <c r="A181" s="11"/>
    </row>
    <row r="182" spans="1:1" x14ac:dyDescent="0.25">
      <c r="A182" s="11"/>
    </row>
    <row r="183" spans="1:1" x14ac:dyDescent="0.25">
      <c r="A183" s="11"/>
    </row>
    <row r="184" spans="1:1" x14ac:dyDescent="0.25">
      <c r="A184" s="11"/>
    </row>
    <row r="185" spans="1:1" x14ac:dyDescent="0.25">
      <c r="A185" s="11"/>
    </row>
    <row r="186" spans="1:1" x14ac:dyDescent="0.25">
      <c r="A186" s="11"/>
    </row>
    <row r="187" spans="1:1" x14ac:dyDescent="0.25">
      <c r="A187" s="11"/>
    </row>
    <row r="188" spans="1:1" x14ac:dyDescent="0.25">
      <c r="A188" s="11"/>
    </row>
    <row r="189" spans="1:1" x14ac:dyDescent="0.25">
      <c r="A189" s="11"/>
    </row>
    <row r="190" spans="1:1" x14ac:dyDescent="0.25">
      <c r="A190" s="11"/>
    </row>
    <row r="191" spans="1:1" x14ac:dyDescent="0.25">
      <c r="A191" s="11"/>
    </row>
    <row r="192" spans="1:1" x14ac:dyDescent="0.25">
      <c r="A192" s="11"/>
    </row>
    <row r="193" spans="1:1" x14ac:dyDescent="0.25">
      <c r="A193" s="11"/>
    </row>
    <row r="194" spans="1:1" x14ac:dyDescent="0.25">
      <c r="A194" s="11"/>
    </row>
    <row r="195" spans="1:1" x14ac:dyDescent="0.25">
      <c r="A195" s="11"/>
    </row>
    <row r="196" spans="1:1" x14ac:dyDescent="0.25">
      <c r="A196" s="11"/>
    </row>
    <row r="197" spans="1:1" x14ac:dyDescent="0.25">
      <c r="A197" s="11"/>
    </row>
    <row r="198" spans="1:1" x14ac:dyDescent="0.25">
      <c r="A198" s="11"/>
    </row>
    <row r="199" spans="1:1" x14ac:dyDescent="0.25">
      <c r="A199" s="11"/>
    </row>
    <row r="200" spans="1:1" x14ac:dyDescent="0.25">
      <c r="A200" s="11"/>
    </row>
    <row r="201" spans="1:1" x14ac:dyDescent="0.25">
      <c r="A201" s="11"/>
    </row>
    <row r="202" spans="1:1" x14ac:dyDescent="0.25">
      <c r="A202" s="11"/>
    </row>
    <row r="203" spans="1:1" x14ac:dyDescent="0.25">
      <c r="A203" s="11"/>
    </row>
    <row r="204" spans="1:1" x14ac:dyDescent="0.25">
      <c r="A204" s="11"/>
    </row>
    <row r="205" spans="1:1" x14ac:dyDescent="0.25">
      <c r="A205" s="11"/>
    </row>
    <row r="206" spans="1:1" x14ac:dyDescent="0.25">
      <c r="A206" s="11"/>
    </row>
    <row r="207" spans="1:1" x14ac:dyDescent="0.25">
      <c r="A207" s="11"/>
    </row>
    <row r="208" spans="1:1" x14ac:dyDescent="0.25">
      <c r="A208" s="11"/>
    </row>
    <row r="209" spans="1:1" x14ac:dyDescent="0.25">
      <c r="A209" s="11"/>
    </row>
    <row r="210" spans="1:1" x14ac:dyDescent="0.25">
      <c r="A210" s="11"/>
    </row>
    <row r="211" spans="1:1" x14ac:dyDescent="0.25">
      <c r="A211" s="11"/>
    </row>
    <row r="212" spans="1:1" x14ac:dyDescent="0.25">
      <c r="A212" s="11"/>
    </row>
    <row r="213" spans="1:1" x14ac:dyDescent="0.25">
      <c r="A213" s="11"/>
    </row>
    <row r="214" spans="1:1" x14ac:dyDescent="0.25">
      <c r="A214" s="11"/>
    </row>
    <row r="215" spans="1:1" x14ac:dyDescent="0.25">
      <c r="A215" s="11"/>
    </row>
    <row r="216" spans="1:1" x14ac:dyDescent="0.25">
      <c r="A216" s="11"/>
    </row>
    <row r="217" spans="1:1" x14ac:dyDescent="0.25">
      <c r="A217" s="11"/>
    </row>
    <row r="218" spans="1:1" x14ac:dyDescent="0.25">
      <c r="A218" s="11"/>
    </row>
    <row r="219" spans="1:1" x14ac:dyDescent="0.25">
      <c r="A219" s="11"/>
    </row>
    <row r="220" spans="1:1" x14ac:dyDescent="0.25">
      <c r="A220" s="11"/>
    </row>
    <row r="221" spans="1:1" x14ac:dyDescent="0.25">
      <c r="A221" s="11"/>
    </row>
    <row r="222" spans="1:1" x14ac:dyDescent="0.25">
      <c r="A222" s="11"/>
    </row>
    <row r="223" spans="1:1" x14ac:dyDescent="0.25">
      <c r="A223" s="11"/>
    </row>
    <row r="224" spans="1:1" x14ac:dyDescent="0.25">
      <c r="A224" s="11"/>
    </row>
    <row r="225" spans="1:1" x14ac:dyDescent="0.25">
      <c r="A225" s="11"/>
    </row>
    <row r="226" spans="1:1" x14ac:dyDescent="0.25">
      <c r="A226" s="11"/>
    </row>
    <row r="227" spans="1:1" x14ac:dyDescent="0.25">
      <c r="A227" s="11"/>
    </row>
    <row r="228" spans="1:1" x14ac:dyDescent="0.25">
      <c r="A228" s="11"/>
    </row>
    <row r="229" spans="1:1" x14ac:dyDescent="0.25">
      <c r="A229" s="11"/>
    </row>
    <row r="230" spans="1:1" x14ac:dyDescent="0.25">
      <c r="A230" s="11"/>
    </row>
    <row r="231" spans="1:1" x14ac:dyDescent="0.25">
      <c r="A231" s="11"/>
    </row>
    <row r="232" spans="1:1" x14ac:dyDescent="0.25">
      <c r="A232" s="11"/>
    </row>
    <row r="233" spans="1:1" x14ac:dyDescent="0.25">
      <c r="A233" s="11"/>
    </row>
    <row r="234" spans="1:1" x14ac:dyDescent="0.25">
      <c r="A234" s="11"/>
    </row>
    <row r="235" spans="1:1" x14ac:dyDescent="0.25">
      <c r="A235" s="11"/>
    </row>
    <row r="236" spans="1:1" x14ac:dyDescent="0.25">
      <c r="A236" s="11"/>
    </row>
    <row r="237" spans="1:1" x14ac:dyDescent="0.25">
      <c r="A237" s="11"/>
    </row>
    <row r="238" spans="1:1" x14ac:dyDescent="0.25">
      <c r="A238" s="11"/>
    </row>
    <row r="239" spans="1:1" x14ac:dyDescent="0.25">
      <c r="A239" s="11"/>
    </row>
    <row r="240" spans="1:1" x14ac:dyDescent="0.25">
      <c r="A240" s="11"/>
    </row>
    <row r="241" spans="1:1" x14ac:dyDescent="0.25">
      <c r="A241" s="11"/>
    </row>
    <row r="242" spans="1:1" x14ac:dyDescent="0.25">
      <c r="A242" s="11"/>
    </row>
    <row r="243" spans="1:1" x14ac:dyDescent="0.25">
      <c r="A243" s="11"/>
    </row>
    <row r="244" spans="1:1" x14ac:dyDescent="0.25">
      <c r="A244" s="11"/>
    </row>
    <row r="245" spans="1:1" x14ac:dyDescent="0.25">
      <c r="A245" s="11"/>
    </row>
    <row r="246" spans="1:1" x14ac:dyDescent="0.25">
      <c r="A246" s="11"/>
    </row>
    <row r="247" spans="1:1" x14ac:dyDescent="0.25">
      <c r="A247" s="11"/>
    </row>
    <row r="248" spans="1:1" x14ac:dyDescent="0.25">
      <c r="A248" s="11"/>
    </row>
    <row r="249" spans="1:1" x14ac:dyDescent="0.25">
      <c r="A249" s="11"/>
    </row>
    <row r="250" spans="1:1" x14ac:dyDescent="0.25">
      <c r="A250" s="11"/>
    </row>
    <row r="251" spans="1:1" x14ac:dyDescent="0.25">
      <c r="A251" s="11"/>
    </row>
    <row r="252" spans="1:1" x14ac:dyDescent="0.25">
      <c r="A252" s="11"/>
    </row>
    <row r="253" spans="1:1" x14ac:dyDescent="0.25">
      <c r="A253" s="11"/>
    </row>
    <row r="254" spans="1:1" x14ac:dyDescent="0.25">
      <c r="A254" s="11"/>
    </row>
    <row r="255" spans="1:1" x14ac:dyDescent="0.25">
      <c r="A255" s="11"/>
    </row>
    <row r="256" spans="1:1" x14ac:dyDescent="0.25">
      <c r="A256" s="11"/>
    </row>
    <row r="257" spans="1:1" x14ac:dyDescent="0.25">
      <c r="A257" s="11"/>
    </row>
    <row r="258" spans="1:1" x14ac:dyDescent="0.25">
      <c r="A258" s="11"/>
    </row>
    <row r="259" spans="1:1" x14ac:dyDescent="0.25">
      <c r="A259" s="11"/>
    </row>
    <row r="260" spans="1:1" x14ac:dyDescent="0.25">
      <c r="A260" s="11"/>
    </row>
    <row r="261" spans="1:1" x14ac:dyDescent="0.25">
      <c r="A261" s="11"/>
    </row>
    <row r="262" spans="1:1" x14ac:dyDescent="0.25">
      <c r="A262" s="11"/>
    </row>
    <row r="263" spans="1:1" x14ac:dyDescent="0.25">
      <c r="A263" s="11"/>
    </row>
    <row r="264" spans="1:1" x14ac:dyDescent="0.25">
      <c r="A264" s="11"/>
    </row>
    <row r="265" spans="1:1" x14ac:dyDescent="0.25">
      <c r="A265" s="11"/>
    </row>
    <row r="266" spans="1:1" x14ac:dyDescent="0.25">
      <c r="A266" s="11"/>
    </row>
    <row r="267" spans="1:1" x14ac:dyDescent="0.25">
      <c r="A267" s="11"/>
    </row>
    <row r="268" spans="1:1" x14ac:dyDescent="0.25">
      <c r="A268" s="11"/>
    </row>
    <row r="269" spans="1:1" x14ac:dyDescent="0.25">
      <c r="A269" s="11"/>
    </row>
    <row r="270" spans="1:1" x14ac:dyDescent="0.25">
      <c r="A270" s="11"/>
    </row>
    <row r="271" spans="1:1" x14ac:dyDescent="0.25">
      <c r="A271" s="11"/>
    </row>
    <row r="272" spans="1:1" x14ac:dyDescent="0.25">
      <c r="A272" s="11"/>
    </row>
    <row r="273" spans="1:1" x14ac:dyDescent="0.25">
      <c r="A273" s="11"/>
    </row>
    <row r="274" spans="1:1" x14ac:dyDescent="0.25">
      <c r="A274" s="11"/>
    </row>
    <row r="275" spans="1:1" x14ac:dyDescent="0.25">
      <c r="A275" s="11"/>
    </row>
    <row r="276" spans="1:1" x14ac:dyDescent="0.25">
      <c r="A276" s="11"/>
    </row>
    <row r="277" spans="1:1" x14ac:dyDescent="0.25">
      <c r="A277" s="11"/>
    </row>
    <row r="278" spans="1:1" x14ac:dyDescent="0.25">
      <c r="A278" s="11"/>
    </row>
    <row r="279" spans="1:1" x14ac:dyDescent="0.25">
      <c r="A279" s="11"/>
    </row>
    <row r="280" spans="1:1" x14ac:dyDescent="0.25">
      <c r="A280" s="11"/>
    </row>
    <row r="281" spans="1:1" x14ac:dyDescent="0.25">
      <c r="A281" s="11"/>
    </row>
    <row r="282" spans="1:1" x14ac:dyDescent="0.25">
      <c r="A282" s="11"/>
    </row>
    <row r="283" spans="1:1" x14ac:dyDescent="0.25">
      <c r="A283" s="11"/>
    </row>
    <row r="284" spans="1:1" x14ac:dyDescent="0.25">
      <c r="A284" s="11"/>
    </row>
    <row r="285" spans="1:1" x14ac:dyDescent="0.25">
      <c r="A285" s="11"/>
    </row>
    <row r="286" spans="1:1" x14ac:dyDescent="0.25">
      <c r="A286" s="11"/>
    </row>
    <row r="287" spans="1:1" x14ac:dyDescent="0.25">
      <c r="A287" s="11"/>
    </row>
    <row r="288" spans="1:1" x14ac:dyDescent="0.25">
      <c r="A288" s="11"/>
    </row>
    <row r="289" spans="1:1" x14ac:dyDescent="0.25">
      <c r="A289" s="11"/>
    </row>
    <row r="290" spans="1:1" x14ac:dyDescent="0.25">
      <c r="A290" s="11"/>
    </row>
    <row r="291" spans="1:1" x14ac:dyDescent="0.25">
      <c r="A291" s="11"/>
    </row>
    <row r="292" spans="1:1" x14ac:dyDescent="0.25">
      <c r="A292" s="11"/>
    </row>
    <row r="293" spans="1:1" x14ac:dyDescent="0.25">
      <c r="A293" s="11"/>
    </row>
    <row r="294" spans="1:1" x14ac:dyDescent="0.25">
      <c r="A294" s="11"/>
    </row>
    <row r="295" spans="1:1" x14ac:dyDescent="0.25">
      <c r="A295" s="11"/>
    </row>
    <row r="296" spans="1:1" x14ac:dyDescent="0.25">
      <c r="A296" s="11"/>
    </row>
    <row r="297" spans="1:1" x14ac:dyDescent="0.25">
      <c r="A297" s="11"/>
    </row>
    <row r="298" spans="1:1" x14ac:dyDescent="0.25">
      <c r="A298" s="11"/>
    </row>
    <row r="299" spans="1:1" x14ac:dyDescent="0.25">
      <c r="A299" s="11"/>
    </row>
    <row r="300" spans="1:1" x14ac:dyDescent="0.25">
      <c r="A300" s="11"/>
    </row>
    <row r="301" spans="1:1" x14ac:dyDescent="0.25">
      <c r="A301" s="11"/>
    </row>
    <row r="302" spans="1:1" x14ac:dyDescent="0.25">
      <c r="A302" s="11"/>
    </row>
    <row r="303" spans="1:1" x14ac:dyDescent="0.25">
      <c r="A303" s="11"/>
    </row>
    <row r="304" spans="1:1" x14ac:dyDescent="0.25">
      <c r="A304" s="11"/>
    </row>
    <row r="305" spans="1:1" x14ac:dyDescent="0.25">
      <c r="A305" s="11"/>
    </row>
    <row r="306" spans="1:1" x14ac:dyDescent="0.25">
      <c r="A306" s="11"/>
    </row>
    <row r="307" spans="1:1" x14ac:dyDescent="0.25">
      <c r="A307" s="11"/>
    </row>
    <row r="308" spans="1:1" x14ac:dyDescent="0.25">
      <c r="A308" s="11"/>
    </row>
    <row r="309" spans="1:1" x14ac:dyDescent="0.25">
      <c r="A309" s="11"/>
    </row>
    <row r="310" spans="1:1" x14ac:dyDescent="0.25">
      <c r="A310" s="11"/>
    </row>
    <row r="311" spans="1:1" x14ac:dyDescent="0.25">
      <c r="A311" s="11"/>
    </row>
    <row r="312" spans="1:1" x14ac:dyDescent="0.25">
      <c r="A312" s="11"/>
    </row>
    <row r="313" spans="1:1" x14ac:dyDescent="0.25">
      <c r="A313" s="11"/>
    </row>
    <row r="314" spans="1:1" x14ac:dyDescent="0.25">
      <c r="A314" s="11"/>
    </row>
    <row r="315" spans="1:1" x14ac:dyDescent="0.25">
      <c r="A315" s="11"/>
    </row>
    <row r="316" spans="1:1" x14ac:dyDescent="0.25">
      <c r="A316" s="11"/>
    </row>
    <row r="317" spans="1:1" x14ac:dyDescent="0.25">
      <c r="A317" s="11"/>
    </row>
    <row r="318" spans="1:1" x14ac:dyDescent="0.25">
      <c r="A318" s="11"/>
    </row>
    <row r="319" spans="1:1" x14ac:dyDescent="0.25">
      <c r="A319" s="11"/>
    </row>
    <row r="320" spans="1:1" x14ac:dyDescent="0.25">
      <c r="A320" s="11"/>
    </row>
    <row r="321" spans="1:1" x14ac:dyDescent="0.25">
      <c r="A321" s="11"/>
    </row>
    <row r="322" spans="1:1" x14ac:dyDescent="0.25">
      <c r="A322" s="11"/>
    </row>
    <row r="323" spans="1:1" x14ac:dyDescent="0.25">
      <c r="A323" s="11"/>
    </row>
    <row r="324" spans="1:1" x14ac:dyDescent="0.25">
      <c r="A324" s="11"/>
    </row>
    <row r="325" spans="1:1" x14ac:dyDescent="0.25">
      <c r="A325" s="11"/>
    </row>
    <row r="326" spans="1:1" x14ac:dyDescent="0.25">
      <c r="A326" s="11"/>
    </row>
    <row r="327" spans="1:1" x14ac:dyDescent="0.25">
      <c r="A327" s="11"/>
    </row>
    <row r="328" spans="1:1" x14ac:dyDescent="0.25">
      <c r="A328" s="11"/>
    </row>
    <row r="329" spans="1:1" x14ac:dyDescent="0.25">
      <c r="A329" s="11"/>
    </row>
    <row r="330" spans="1:1" x14ac:dyDescent="0.25">
      <c r="A330" s="11"/>
    </row>
    <row r="331" spans="1:1" x14ac:dyDescent="0.25">
      <c r="A331" s="11"/>
    </row>
    <row r="332" spans="1:1" x14ac:dyDescent="0.25">
      <c r="A332" s="11"/>
    </row>
    <row r="333" spans="1:1" x14ac:dyDescent="0.25">
      <c r="A333" s="11"/>
    </row>
    <row r="334" spans="1:1" x14ac:dyDescent="0.25">
      <c r="A334" s="11"/>
    </row>
    <row r="335" spans="1:1" x14ac:dyDescent="0.25">
      <c r="A335" s="11"/>
    </row>
    <row r="336" spans="1:1" x14ac:dyDescent="0.25">
      <c r="A336" s="11"/>
    </row>
    <row r="337" spans="1:1" x14ac:dyDescent="0.25">
      <c r="A337" s="11"/>
    </row>
    <row r="338" spans="1:1" x14ac:dyDescent="0.25">
      <c r="A338" s="11"/>
    </row>
    <row r="339" spans="1:1" x14ac:dyDescent="0.25">
      <c r="A339" s="11"/>
    </row>
    <row r="340" spans="1:1" x14ac:dyDescent="0.25">
      <c r="A340" s="11"/>
    </row>
    <row r="341" spans="1:1" x14ac:dyDescent="0.25">
      <c r="A341" s="11"/>
    </row>
    <row r="342" spans="1:1" x14ac:dyDescent="0.25">
      <c r="A342" s="11"/>
    </row>
    <row r="343" spans="1:1" x14ac:dyDescent="0.25">
      <c r="A343" s="11"/>
    </row>
    <row r="344" spans="1:1" x14ac:dyDescent="0.25">
      <c r="A344" s="11"/>
    </row>
    <row r="345" spans="1:1" x14ac:dyDescent="0.25">
      <c r="A345" s="11"/>
    </row>
    <row r="346" spans="1:1" x14ac:dyDescent="0.25">
      <c r="A346" s="11"/>
    </row>
    <row r="347" spans="1:1" x14ac:dyDescent="0.25">
      <c r="A347" s="11"/>
    </row>
    <row r="348" spans="1:1" x14ac:dyDescent="0.25">
      <c r="A348" s="11"/>
    </row>
    <row r="349" spans="1:1" x14ac:dyDescent="0.25">
      <c r="A349" s="11"/>
    </row>
    <row r="350" spans="1:1" x14ac:dyDescent="0.25">
      <c r="A350" s="11"/>
    </row>
    <row r="351" spans="1:1" x14ac:dyDescent="0.25">
      <c r="A351" s="11"/>
    </row>
    <row r="352" spans="1:1" x14ac:dyDescent="0.25">
      <c r="A352" s="11"/>
    </row>
    <row r="353" spans="1:1" x14ac:dyDescent="0.25">
      <c r="A353" s="11"/>
    </row>
    <row r="354" spans="1:1" x14ac:dyDescent="0.25">
      <c r="A354" s="11"/>
    </row>
    <row r="355" spans="1:1" x14ac:dyDescent="0.25">
      <c r="A355" s="11"/>
    </row>
    <row r="356" spans="1:1" x14ac:dyDescent="0.25">
      <c r="A356" s="11"/>
    </row>
    <row r="357" spans="1:1" x14ac:dyDescent="0.25">
      <c r="A357" s="11"/>
    </row>
    <row r="358" spans="1:1" x14ac:dyDescent="0.25">
      <c r="A358" s="11"/>
    </row>
    <row r="359" spans="1:1" x14ac:dyDescent="0.25">
      <c r="A359" s="11"/>
    </row>
    <row r="360" spans="1:1" x14ac:dyDescent="0.25">
      <c r="A360" s="11"/>
    </row>
    <row r="361" spans="1:1" x14ac:dyDescent="0.25">
      <c r="A361" s="11"/>
    </row>
    <row r="362" spans="1:1" x14ac:dyDescent="0.25">
      <c r="A362" s="11"/>
    </row>
    <row r="363" spans="1:1" x14ac:dyDescent="0.25">
      <c r="A363" s="11"/>
    </row>
    <row r="364" spans="1:1" x14ac:dyDescent="0.25">
      <c r="A364" s="11"/>
    </row>
    <row r="365" spans="1:1" x14ac:dyDescent="0.25">
      <c r="A365" s="11"/>
    </row>
    <row r="366" spans="1:1" x14ac:dyDescent="0.25">
      <c r="A366" s="11"/>
    </row>
    <row r="367" spans="1:1" x14ac:dyDescent="0.25">
      <c r="A367" s="11"/>
    </row>
    <row r="368" spans="1:1" x14ac:dyDescent="0.25">
      <c r="A368" s="11"/>
    </row>
    <row r="369" spans="1:1" x14ac:dyDescent="0.25">
      <c r="A369" s="11"/>
    </row>
    <row r="370" spans="1:1" x14ac:dyDescent="0.25">
      <c r="A370" s="11"/>
    </row>
    <row r="371" spans="1:1" x14ac:dyDescent="0.25">
      <c r="A371" s="11"/>
    </row>
    <row r="372" spans="1:1" x14ac:dyDescent="0.25">
      <c r="A372" s="11"/>
    </row>
    <row r="373" spans="1:1" x14ac:dyDescent="0.25">
      <c r="A373" s="11"/>
    </row>
    <row r="374" spans="1:1" x14ac:dyDescent="0.25">
      <c r="A374" s="11"/>
    </row>
    <row r="375" spans="1:1" x14ac:dyDescent="0.25">
      <c r="A375" s="11"/>
    </row>
    <row r="376" spans="1:1" x14ac:dyDescent="0.25">
      <c r="A376" s="11"/>
    </row>
    <row r="377" spans="1:1" x14ac:dyDescent="0.25">
      <c r="A377" s="11"/>
    </row>
    <row r="378" spans="1:1" x14ac:dyDescent="0.25">
      <c r="A378" s="11"/>
    </row>
  </sheetData>
  <pageMargins left="0.39370078740157483" right="0.39370078740157483" top="0.39370078740157483" bottom="0.39370078740157483"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29"/>
  <sheetViews>
    <sheetView tabSelected="1" workbookViewId="0">
      <selection activeCell="A5" sqref="A5"/>
    </sheetView>
  </sheetViews>
  <sheetFormatPr defaultRowHeight="15" x14ac:dyDescent="0.25"/>
  <cols>
    <col min="2" max="2" width="48.42578125" bestFit="1" customWidth="1"/>
    <col min="3" max="3" width="12.140625" bestFit="1" customWidth="1"/>
    <col min="4" max="4" width="18.7109375" bestFit="1" customWidth="1"/>
    <col min="5" max="5" width="23" bestFit="1" customWidth="1"/>
    <col min="6" max="6" width="24.5703125" bestFit="1" customWidth="1"/>
    <col min="7" max="7" width="19.140625" bestFit="1" customWidth="1"/>
    <col min="8" max="8" width="32.5703125" bestFit="1" customWidth="1"/>
    <col min="9" max="9" width="22.28515625" bestFit="1" customWidth="1"/>
    <col min="10" max="10" width="26.42578125" bestFit="1" customWidth="1"/>
    <col min="11" max="11" width="50.140625" bestFit="1" customWidth="1"/>
  </cols>
  <sheetData>
    <row r="2" spans="1:11" x14ac:dyDescent="0.25">
      <c r="K2" s="1" t="s">
        <v>203</v>
      </c>
    </row>
    <row r="3" spans="1:11" s="1" customFormat="1" x14ac:dyDescent="0.25">
      <c r="A3" s="1" t="s">
        <v>366</v>
      </c>
      <c r="B3" s="1" t="s">
        <v>144</v>
      </c>
      <c r="C3" s="1" t="s">
        <v>302</v>
      </c>
      <c r="D3" s="1" t="s">
        <v>303</v>
      </c>
      <c r="E3" s="1" t="s">
        <v>355</v>
      </c>
      <c r="F3" s="1" t="s">
        <v>200</v>
      </c>
      <c r="G3" s="1" t="s">
        <v>0</v>
      </c>
      <c r="H3" s="1" t="s">
        <v>201</v>
      </c>
      <c r="I3" s="1" t="s">
        <v>202</v>
      </c>
      <c r="J3" s="1" t="s">
        <v>198</v>
      </c>
      <c r="K3" s="1" t="s">
        <v>199</v>
      </c>
    </row>
    <row r="4" spans="1:11" s="1" customFormat="1" x14ac:dyDescent="0.25">
      <c r="A4" s="1" t="s">
        <v>367</v>
      </c>
      <c r="B4" s="1" t="s">
        <v>67</v>
      </c>
      <c r="G4" s="1" t="s">
        <v>356</v>
      </c>
      <c r="H4" s="1" t="s">
        <v>357</v>
      </c>
    </row>
    <row r="5" spans="1:11" x14ac:dyDescent="0.25">
      <c r="B5" t="s">
        <v>268</v>
      </c>
      <c r="G5">
        <v>100</v>
      </c>
      <c r="H5">
        <f>36+10</f>
        <v>46</v>
      </c>
      <c r="I5">
        <f>G5-H5</f>
        <v>54</v>
      </c>
      <c r="J5" t="s">
        <v>358</v>
      </c>
      <c r="K5" t="s">
        <v>359</v>
      </c>
    </row>
    <row r="6" spans="1:11" x14ac:dyDescent="0.25">
      <c r="B6" s="1" t="s">
        <v>66</v>
      </c>
      <c r="C6" s="1"/>
      <c r="D6" s="1"/>
      <c r="E6" s="1"/>
      <c r="F6" s="1"/>
    </row>
    <row r="7" spans="1:11" x14ac:dyDescent="0.25">
      <c r="B7" t="s">
        <v>64</v>
      </c>
    </row>
    <row r="8" spans="1:11" x14ac:dyDescent="0.25">
      <c r="B8" t="s">
        <v>65</v>
      </c>
    </row>
    <row r="9" spans="1:11" x14ac:dyDescent="0.25">
      <c r="B9" t="s">
        <v>40</v>
      </c>
    </row>
    <row r="10" spans="1:11" x14ac:dyDescent="0.25">
      <c r="B10" t="s">
        <v>4</v>
      </c>
    </row>
    <row r="11" spans="1:11" x14ac:dyDescent="0.25">
      <c r="B11" t="s">
        <v>8</v>
      </c>
    </row>
    <row r="13" spans="1:11" x14ac:dyDescent="0.25">
      <c r="B13" s="1" t="s">
        <v>81</v>
      </c>
      <c r="C13" s="1"/>
      <c r="D13" s="1"/>
      <c r="E13" s="1"/>
      <c r="F13" s="1"/>
    </row>
    <row r="14" spans="1:11" x14ac:dyDescent="0.25">
      <c r="B14" s="1" t="s">
        <v>82</v>
      </c>
      <c r="C14" s="1"/>
      <c r="D14" s="1"/>
      <c r="E14" s="1"/>
      <c r="F14" s="1"/>
    </row>
    <row r="15" spans="1:11" x14ac:dyDescent="0.25">
      <c r="B15" t="s">
        <v>13</v>
      </c>
    </row>
    <row r="16" spans="1:11" x14ac:dyDescent="0.25">
      <c r="B16" t="s">
        <v>14</v>
      </c>
    </row>
    <row r="17" spans="2:2" x14ac:dyDescent="0.25">
      <c r="B17" t="s">
        <v>96</v>
      </c>
    </row>
    <row r="18" spans="2:2" x14ac:dyDescent="0.25">
      <c r="B18" t="s">
        <v>97</v>
      </c>
    </row>
    <row r="19" spans="2:2" x14ac:dyDescent="0.25">
      <c r="B19" t="s">
        <v>98</v>
      </c>
    </row>
    <row r="20" spans="2:2" x14ac:dyDescent="0.25">
      <c r="B20" t="s">
        <v>99</v>
      </c>
    </row>
    <row r="21" spans="2:2" x14ac:dyDescent="0.25">
      <c r="B21" t="s">
        <v>100</v>
      </c>
    </row>
    <row r="23" spans="2:2" s="1" customFormat="1" x14ac:dyDescent="0.25">
      <c r="B23" s="1" t="s">
        <v>68</v>
      </c>
    </row>
    <row r="24" spans="2:2" x14ac:dyDescent="0.25">
      <c r="B24" t="s">
        <v>60</v>
      </c>
    </row>
    <row r="25" spans="2:2" x14ac:dyDescent="0.25">
      <c r="B25" t="s">
        <v>75</v>
      </c>
    </row>
    <row r="26" spans="2:2" x14ac:dyDescent="0.25">
      <c r="B26" t="s">
        <v>76</v>
      </c>
    </row>
    <row r="27" spans="2:2" x14ac:dyDescent="0.25">
      <c r="B27" t="s">
        <v>77</v>
      </c>
    </row>
    <row r="28" spans="2:2" x14ac:dyDescent="0.25">
      <c r="B28" t="s">
        <v>74</v>
      </c>
    </row>
    <row r="29" spans="2:2" x14ac:dyDescent="0.25">
      <c r="B29" t="s">
        <v>267</v>
      </c>
    </row>
    <row r="30" spans="2:2" x14ac:dyDescent="0.25">
      <c r="B30" t="s">
        <v>266</v>
      </c>
    </row>
    <row r="31" spans="2:2" x14ac:dyDescent="0.25">
      <c r="B31" t="s">
        <v>32</v>
      </c>
    </row>
    <row r="32" spans="2:2" x14ac:dyDescent="0.25">
      <c r="B32" t="s">
        <v>15</v>
      </c>
    </row>
    <row r="34" spans="2:6" x14ac:dyDescent="0.25">
      <c r="B34" s="1" t="s">
        <v>79</v>
      </c>
      <c r="C34" s="1"/>
      <c r="D34" s="1"/>
      <c r="E34" s="1"/>
      <c r="F34" s="1"/>
    </row>
    <row r="35" spans="2:6" x14ac:dyDescent="0.25">
      <c r="B35" t="s">
        <v>132</v>
      </c>
    </row>
    <row r="36" spans="2:6" x14ac:dyDescent="0.25">
      <c r="B36" t="s">
        <v>124</v>
      </c>
    </row>
    <row r="37" spans="2:6" x14ac:dyDescent="0.25">
      <c r="B37" t="s">
        <v>125</v>
      </c>
    </row>
    <row r="38" spans="2:6" x14ac:dyDescent="0.25">
      <c r="B38" t="s">
        <v>126</v>
      </c>
    </row>
    <row r="39" spans="2:6" x14ac:dyDescent="0.25">
      <c r="B39" t="s">
        <v>123</v>
      </c>
    </row>
    <row r="40" spans="2:6" x14ac:dyDescent="0.25">
      <c r="B40" t="s">
        <v>133</v>
      </c>
    </row>
    <row r="41" spans="2:6" x14ac:dyDescent="0.25">
      <c r="B41" t="s">
        <v>134</v>
      </c>
    </row>
    <row r="42" spans="2:6" x14ac:dyDescent="0.25">
      <c r="B42" t="s">
        <v>92</v>
      </c>
    </row>
    <row r="43" spans="2:6" x14ac:dyDescent="0.25">
      <c r="B43" t="s">
        <v>137</v>
      </c>
    </row>
    <row r="44" spans="2:6" x14ac:dyDescent="0.25">
      <c r="B44" t="s">
        <v>127</v>
      </c>
    </row>
    <row r="45" spans="2:6" x14ac:dyDescent="0.25">
      <c r="B45" t="s">
        <v>136</v>
      </c>
    </row>
    <row r="46" spans="2:6" x14ac:dyDescent="0.25">
      <c r="B46" t="s">
        <v>43</v>
      </c>
    </row>
    <row r="47" spans="2:6" x14ac:dyDescent="0.25">
      <c r="B47" t="s">
        <v>44</v>
      </c>
    </row>
    <row r="48" spans="2:6" x14ac:dyDescent="0.25">
      <c r="B48" t="s">
        <v>29</v>
      </c>
    </row>
    <row r="49" spans="2:2" x14ac:dyDescent="0.25">
      <c r="B49" t="s">
        <v>28</v>
      </c>
    </row>
    <row r="50" spans="2:2" x14ac:dyDescent="0.25">
      <c r="B50" t="s">
        <v>93</v>
      </c>
    </row>
    <row r="51" spans="2:2" x14ac:dyDescent="0.25">
      <c r="B51" t="s">
        <v>42</v>
      </c>
    </row>
    <row r="52" spans="2:2" x14ac:dyDescent="0.25">
      <c r="B52" t="s">
        <v>128</v>
      </c>
    </row>
    <row r="53" spans="2:2" x14ac:dyDescent="0.25">
      <c r="B53" t="s">
        <v>129</v>
      </c>
    </row>
    <row r="54" spans="2:2" x14ac:dyDescent="0.25">
      <c r="B54" t="s">
        <v>130</v>
      </c>
    </row>
    <row r="55" spans="2:2" x14ac:dyDescent="0.25">
      <c r="B55" t="s">
        <v>131</v>
      </c>
    </row>
    <row r="56" spans="2:2" x14ac:dyDescent="0.25">
      <c r="B56" t="s">
        <v>135</v>
      </c>
    </row>
    <row r="57" spans="2:2" x14ac:dyDescent="0.25">
      <c r="B57" t="s">
        <v>16</v>
      </c>
    </row>
    <row r="58" spans="2:2" x14ac:dyDescent="0.25">
      <c r="B58" t="s">
        <v>270</v>
      </c>
    </row>
    <row r="59" spans="2:2" x14ac:dyDescent="0.25">
      <c r="B59" t="s">
        <v>271</v>
      </c>
    </row>
    <row r="61" spans="2:2" s="1" customFormat="1" x14ac:dyDescent="0.25">
      <c r="B61" s="1" t="s">
        <v>73</v>
      </c>
    </row>
    <row r="62" spans="2:2" x14ac:dyDescent="0.25">
      <c r="B62" t="s">
        <v>5</v>
      </c>
    </row>
    <row r="63" spans="2:2" x14ac:dyDescent="0.25">
      <c r="B63" t="s">
        <v>109</v>
      </c>
    </row>
    <row r="64" spans="2:2" x14ac:dyDescent="0.25">
      <c r="B64" t="s">
        <v>110</v>
      </c>
    </row>
    <row r="65" spans="2:6" x14ac:dyDescent="0.25">
      <c r="B65" t="s">
        <v>111</v>
      </c>
    </row>
    <row r="66" spans="2:6" x14ac:dyDescent="0.25">
      <c r="B66" t="s">
        <v>112</v>
      </c>
    </row>
    <row r="67" spans="2:6" x14ac:dyDescent="0.25">
      <c r="B67" t="s">
        <v>113</v>
      </c>
    </row>
    <row r="68" spans="2:6" x14ac:dyDescent="0.25">
      <c r="B68" t="s">
        <v>114</v>
      </c>
    </row>
    <row r="70" spans="2:6" s="1" customFormat="1" x14ac:dyDescent="0.25">
      <c r="B70" s="1" t="s">
        <v>80</v>
      </c>
    </row>
    <row r="71" spans="2:6" x14ac:dyDescent="0.25">
      <c r="B71" t="s">
        <v>57</v>
      </c>
    </row>
    <row r="72" spans="2:6" x14ac:dyDescent="0.25">
      <c r="B72" t="s">
        <v>63</v>
      </c>
    </row>
    <row r="73" spans="2:6" x14ac:dyDescent="0.25">
      <c r="B73" t="s">
        <v>83</v>
      </c>
    </row>
    <row r="74" spans="2:6" x14ac:dyDescent="0.25">
      <c r="B74" t="s">
        <v>84</v>
      </c>
    </row>
    <row r="75" spans="2:6" x14ac:dyDescent="0.25">
      <c r="B75" t="s">
        <v>85</v>
      </c>
    </row>
    <row r="76" spans="2:6" x14ac:dyDescent="0.25">
      <c r="B76" t="s">
        <v>53</v>
      </c>
    </row>
    <row r="77" spans="2:6" x14ac:dyDescent="0.25">
      <c r="B77" t="s">
        <v>94</v>
      </c>
    </row>
    <row r="79" spans="2:6" x14ac:dyDescent="0.25">
      <c r="B79" s="1" t="s">
        <v>117</v>
      </c>
      <c r="C79" s="1"/>
      <c r="D79" s="1"/>
      <c r="E79" s="1"/>
      <c r="F79" s="1"/>
    </row>
    <row r="80" spans="2:6" x14ac:dyDescent="0.25">
      <c r="B80" t="s">
        <v>62</v>
      </c>
    </row>
    <row r="81" spans="2:6" x14ac:dyDescent="0.25">
      <c r="B81" t="s">
        <v>61</v>
      </c>
    </row>
    <row r="85" spans="2:6" x14ac:dyDescent="0.25">
      <c r="B85" s="1" t="s">
        <v>69</v>
      </c>
      <c r="C85" s="1"/>
      <c r="D85" s="1"/>
      <c r="E85" s="1"/>
      <c r="F85" s="1"/>
    </row>
    <row r="86" spans="2:6" x14ac:dyDescent="0.25">
      <c r="B86" t="s">
        <v>41</v>
      </c>
    </row>
    <row r="87" spans="2:6" x14ac:dyDescent="0.25">
      <c r="B87" t="s">
        <v>102</v>
      </c>
    </row>
    <row r="88" spans="2:6" x14ac:dyDescent="0.25">
      <c r="B88" t="s">
        <v>101</v>
      </c>
    </row>
    <row r="89" spans="2:6" x14ac:dyDescent="0.25">
      <c r="B89" t="s">
        <v>103</v>
      </c>
    </row>
    <row r="90" spans="2:6" x14ac:dyDescent="0.25">
      <c r="B90" t="s">
        <v>104</v>
      </c>
    </row>
    <row r="92" spans="2:6" s="1" customFormat="1" x14ac:dyDescent="0.25">
      <c r="B92" s="1" t="s">
        <v>72</v>
      </c>
    </row>
    <row r="93" spans="2:6" x14ac:dyDescent="0.25">
      <c r="B93" t="s">
        <v>2</v>
      </c>
    </row>
    <row r="94" spans="2:6" x14ac:dyDescent="0.25">
      <c r="B94" t="s">
        <v>3</v>
      </c>
    </row>
    <row r="95" spans="2:6" x14ac:dyDescent="0.25">
      <c r="B95" t="s">
        <v>1</v>
      </c>
    </row>
    <row r="96" spans="2:6" x14ac:dyDescent="0.25">
      <c r="B96" t="s">
        <v>244</v>
      </c>
    </row>
    <row r="97" spans="2:2" x14ac:dyDescent="0.25">
      <c r="B97" t="s">
        <v>245</v>
      </c>
    </row>
    <row r="98" spans="2:2" x14ac:dyDescent="0.25">
      <c r="B98" t="s">
        <v>257</v>
      </c>
    </row>
    <row r="99" spans="2:2" x14ac:dyDescent="0.25">
      <c r="B99" t="s">
        <v>258</v>
      </c>
    </row>
    <row r="100" spans="2:2" x14ac:dyDescent="0.25">
      <c r="B100" t="s">
        <v>247</v>
      </c>
    </row>
    <row r="101" spans="2:2" x14ac:dyDescent="0.25">
      <c r="B101" t="s">
        <v>246</v>
      </c>
    </row>
    <row r="102" spans="2:2" x14ac:dyDescent="0.25">
      <c r="B102" t="s">
        <v>248</v>
      </c>
    </row>
    <row r="103" spans="2:2" x14ac:dyDescent="0.25">
      <c r="B103" t="s">
        <v>249</v>
      </c>
    </row>
    <row r="104" spans="2:2" x14ac:dyDescent="0.25">
      <c r="B104" t="s">
        <v>250</v>
      </c>
    </row>
    <row r="105" spans="2:2" x14ac:dyDescent="0.25">
      <c r="B105" t="s">
        <v>251</v>
      </c>
    </row>
    <row r="106" spans="2:2" x14ac:dyDescent="0.25">
      <c r="B106" t="s">
        <v>252</v>
      </c>
    </row>
    <row r="107" spans="2:2" x14ac:dyDescent="0.25">
      <c r="B107" t="s">
        <v>253</v>
      </c>
    </row>
    <row r="108" spans="2:2" x14ac:dyDescent="0.25">
      <c r="B108" t="s">
        <v>254</v>
      </c>
    </row>
    <row r="109" spans="2:2" x14ac:dyDescent="0.25">
      <c r="B109" t="s">
        <v>255</v>
      </c>
    </row>
    <row r="110" spans="2:2" x14ac:dyDescent="0.25">
      <c r="B110" t="s">
        <v>256</v>
      </c>
    </row>
    <row r="111" spans="2:2" x14ac:dyDescent="0.25">
      <c r="B111" t="s">
        <v>259</v>
      </c>
    </row>
    <row r="113" spans="2:5" s="1" customFormat="1" x14ac:dyDescent="0.25">
      <c r="B113" s="1" t="s">
        <v>70</v>
      </c>
    </row>
    <row r="114" spans="2:5" x14ac:dyDescent="0.25">
      <c r="B114" t="s">
        <v>30</v>
      </c>
    </row>
    <row r="115" spans="2:5" x14ac:dyDescent="0.25">
      <c r="B115" t="s">
        <v>31</v>
      </c>
    </row>
    <row r="116" spans="2:5" x14ac:dyDescent="0.25">
      <c r="B116" t="s">
        <v>25</v>
      </c>
    </row>
    <row r="117" spans="2:5" x14ac:dyDescent="0.25">
      <c r="B117" t="s">
        <v>26</v>
      </c>
    </row>
    <row r="118" spans="2:5" x14ac:dyDescent="0.25">
      <c r="B118" t="s">
        <v>27</v>
      </c>
    </row>
    <row r="119" spans="2:5" x14ac:dyDescent="0.25">
      <c r="B119" t="s">
        <v>88</v>
      </c>
    </row>
    <row r="120" spans="2:5" x14ac:dyDescent="0.25">
      <c r="B120" t="s">
        <v>89</v>
      </c>
    </row>
    <row r="121" spans="2:5" x14ac:dyDescent="0.25">
      <c r="B121" t="s">
        <v>90</v>
      </c>
    </row>
    <row r="122" spans="2:5" x14ac:dyDescent="0.25">
      <c r="B122" t="s">
        <v>91</v>
      </c>
    </row>
    <row r="123" spans="2:5" x14ac:dyDescent="0.25">
      <c r="B123" t="s">
        <v>7</v>
      </c>
    </row>
    <row r="124" spans="2:5" x14ac:dyDescent="0.25">
      <c r="B124" t="s">
        <v>58</v>
      </c>
    </row>
    <row r="125" spans="2:5" x14ac:dyDescent="0.25">
      <c r="B125" t="s">
        <v>59</v>
      </c>
    </row>
    <row r="126" spans="2:5" x14ac:dyDescent="0.25">
      <c r="B126" t="s">
        <v>220</v>
      </c>
      <c r="C126" s="3" t="s">
        <v>234</v>
      </c>
      <c r="D126" s="3"/>
      <c r="E126" s="3"/>
    </row>
    <row r="128" spans="2:5" s="1" customFormat="1" x14ac:dyDescent="0.25">
      <c r="B128" s="1" t="s">
        <v>71</v>
      </c>
    </row>
    <row r="129" spans="2:2" x14ac:dyDescent="0.25">
      <c r="B129" t="s">
        <v>45</v>
      </c>
    </row>
    <row r="130" spans="2:2" x14ac:dyDescent="0.25">
      <c r="B130" t="s">
        <v>46</v>
      </c>
    </row>
    <row r="131" spans="2:2" x14ac:dyDescent="0.25">
      <c r="B131" t="s">
        <v>219</v>
      </c>
    </row>
    <row r="132" spans="2:2" x14ac:dyDescent="0.25">
      <c r="B132" t="s">
        <v>47</v>
      </c>
    </row>
    <row r="133" spans="2:2" x14ac:dyDescent="0.25">
      <c r="B133" t="s">
        <v>48</v>
      </c>
    </row>
    <row r="134" spans="2:2" x14ac:dyDescent="0.25">
      <c r="B134" t="s">
        <v>49</v>
      </c>
    </row>
    <row r="135" spans="2:2" x14ac:dyDescent="0.25">
      <c r="B135" t="s">
        <v>50</v>
      </c>
    </row>
    <row r="136" spans="2:2" x14ac:dyDescent="0.25">
      <c r="B136" t="s">
        <v>51</v>
      </c>
    </row>
    <row r="137" spans="2:2" x14ac:dyDescent="0.25">
      <c r="B137" t="s">
        <v>52</v>
      </c>
    </row>
    <row r="138" spans="2:2" x14ac:dyDescent="0.25">
      <c r="B138" t="s">
        <v>21</v>
      </c>
    </row>
    <row r="139" spans="2:2" x14ac:dyDescent="0.25">
      <c r="B139" t="s">
        <v>22</v>
      </c>
    </row>
    <row r="140" spans="2:2" x14ac:dyDescent="0.25">
      <c r="B140" t="s">
        <v>23</v>
      </c>
    </row>
    <row r="141" spans="2:2" x14ac:dyDescent="0.25">
      <c r="B141" t="s">
        <v>39</v>
      </c>
    </row>
    <row r="143" spans="2:2" s="1" customFormat="1" x14ac:dyDescent="0.25">
      <c r="B143" s="1" t="s">
        <v>78</v>
      </c>
    </row>
    <row r="144" spans="2:2" x14ac:dyDescent="0.25">
      <c r="B144" t="s">
        <v>56</v>
      </c>
    </row>
    <row r="145" spans="2:2" x14ac:dyDescent="0.25">
      <c r="B145" t="s">
        <v>54</v>
      </c>
    </row>
    <row r="146" spans="2:2" x14ac:dyDescent="0.25">
      <c r="B146" t="s">
        <v>55</v>
      </c>
    </row>
    <row r="147" spans="2:2" x14ac:dyDescent="0.25">
      <c r="B147" t="s">
        <v>33</v>
      </c>
    </row>
    <row r="148" spans="2:2" x14ac:dyDescent="0.25">
      <c r="B148" t="s">
        <v>34</v>
      </c>
    </row>
    <row r="150" spans="2:2" s="1" customFormat="1" x14ac:dyDescent="0.25">
      <c r="B150" s="1" t="s">
        <v>86</v>
      </c>
    </row>
    <row r="151" spans="2:2" x14ac:dyDescent="0.25">
      <c r="B151" t="s">
        <v>19</v>
      </c>
    </row>
    <row r="152" spans="2:2" x14ac:dyDescent="0.25">
      <c r="B152" t="s">
        <v>20</v>
      </c>
    </row>
    <row r="153" spans="2:2" x14ac:dyDescent="0.25">
      <c r="B153" t="s">
        <v>11</v>
      </c>
    </row>
    <row r="154" spans="2:2" x14ac:dyDescent="0.25">
      <c r="B154" t="s">
        <v>12</v>
      </c>
    </row>
    <row r="155" spans="2:2" x14ac:dyDescent="0.25">
      <c r="B155" t="s">
        <v>6</v>
      </c>
    </row>
    <row r="156" spans="2:2" x14ac:dyDescent="0.25">
      <c r="B156" t="s">
        <v>105</v>
      </c>
    </row>
    <row r="157" spans="2:2" x14ac:dyDescent="0.25">
      <c r="B157" t="s">
        <v>106</v>
      </c>
    </row>
    <row r="158" spans="2:2" x14ac:dyDescent="0.25">
      <c r="B158" t="s">
        <v>107</v>
      </c>
    </row>
    <row r="159" spans="2:2" x14ac:dyDescent="0.25">
      <c r="B159" t="s">
        <v>108</v>
      </c>
    </row>
    <row r="160" spans="2:2" x14ac:dyDescent="0.25">
      <c r="B160" t="s">
        <v>261</v>
      </c>
    </row>
    <row r="162" spans="2:6" x14ac:dyDescent="0.25">
      <c r="B162" s="1" t="s">
        <v>87</v>
      </c>
      <c r="C162" s="1"/>
      <c r="D162" s="1"/>
      <c r="E162" s="1"/>
      <c r="F162" s="1"/>
    </row>
    <row r="163" spans="2:6" x14ac:dyDescent="0.25">
      <c r="B163" s="3" t="s">
        <v>236</v>
      </c>
      <c r="C163" s="3"/>
      <c r="D163" s="3"/>
      <c r="E163" s="3"/>
      <c r="F163" s="3"/>
    </row>
    <row r="164" spans="2:6" x14ac:dyDescent="0.25">
      <c r="B164" t="s">
        <v>235</v>
      </c>
      <c r="C164" s="3" t="s">
        <v>234</v>
      </c>
      <c r="D164" s="3"/>
      <c r="E164" s="3"/>
    </row>
    <row r="165" spans="2:6" x14ac:dyDescent="0.25">
      <c r="B165" t="s">
        <v>119</v>
      </c>
    </row>
    <row r="166" spans="2:6" x14ac:dyDescent="0.25">
      <c r="B166" t="s">
        <v>120</v>
      </c>
    </row>
    <row r="167" spans="2:6" x14ac:dyDescent="0.25">
      <c r="B167" t="s">
        <v>121</v>
      </c>
    </row>
    <row r="168" spans="2:6" x14ac:dyDescent="0.25">
      <c r="B168" t="s">
        <v>122</v>
      </c>
    </row>
    <row r="169" spans="2:6" x14ac:dyDescent="0.25">
      <c r="B169" t="s">
        <v>265</v>
      </c>
    </row>
    <row r="170" spans="2:6" x14ac:dyDescent="0.25">
      <c r="B170" t="s">
        <v>9</v>
      </c>
      <c r="C170" s="3" t="s">
        <v>234</v>
      </c>
      <c r="D170" s="3"/>
      <c r="E170" s="3"/>
    </row>
    <row r="171" spans="2:6" x14ac:dyDescent="0.25">
      <c r="B171" t="s">
        <v>237</v>
      </c>
      <c r="C171" s="3"/>
      <c r="D171" s="3"/>
      <c r="E171" s="3"/>
    </row>
    <row r="172" spans="2:6" x14ac:dyDescent="0.25">
      <c r="B172" s="1"/>
      <c r="C172" s="1"/>
      <c r="D172" s="1"/>
      <c r="E172" s="1"/>
      <c r="F172" s="1"/>
    </row>
    <row r="173" spans="2:6" x14ac:dyDescent="0.25">
      <c r="B173" s="1" t="s">
        <v>204</v>
      </c>
      <c r="C173" s="1"/>
      <c r="D173" s="1"/>
      <c r="E173" s="1"/>
      <c r="F173" s="1"/>
    </row>
    <row r="174" spans="2:6" x14ac:dyDescent="0.25">
      <c r="B174" t="s">
        <v>205</v>
      </c>
    </row>
    <row r="175" spans="2:6" x14ac:dyDescent="0.25">
      <c r="B175" s="3" t="s">
        <v>206</v>
      </c>
      <c r="C175" s="3"/>
      <c r="D175" s="3"/>
      <c r="E175" s="3"/>
      <c r="F175" s="1"/>
    </row>
    <row r="176" spans="2:6" x14ac:dyDescent="0.25">
      <c r="B176" s="3" t="s">
        <v>207</v>
      </c>
      <c r="C176" s="3"/>
      <c r="D176" s="3"/>
      <c r="E176" s="3"/>
      <c r="F176" s="1"/>
    </row>
    <row r="177" spans="2:6" x14ac:dyDescent="0.25">
      <c r="B177" s="3" t="s">
        <v>208</v>
      </c>
      <c r="C177" s="3" t="s">
        <v>234</v>
      </c>
      <c r="D177" s="3"/>
      <c r="E177" s="3"/>
      <c r="F177" s="1"/>
    </row>
    <row r="178" spans="2:6" x14ac:dyDescent="0.25">
      <c r="B178" s="3" t="s">
        <v>209</v>
      </c>
      <c r="C178" s="3" t="s">
        <v>234</v>
      </c>
      <c r="D178" s="3"/>
      <c r="E178" s="3"/>
      <c r="F178" s="1"/>
    </row>
    <row r="179" spans="2:6" x14ac:dyDescent="0.25">
      <c r="B179" s="3" t="s">
        <v>233</v>
      </c>
      <c r="C179" s="3" t="s">
        <v>234</v>
      </c>
      <c r="D179" s="3"/>
      <c r="E179" s="3"/>
    </row>
    <row r="180" spans="2:6" x14ac:dyDescent="0.25">
      <c r="B180" t="s">
        <v>231</v>
      </c>
      <c r="C180" s="3" t="s">
        <v>234</v>
      </c>
      <c r="D180" s="3"/>
      <c r="E180" s="3"/>
    </row>
    <row r="181" spans="2:6" x14ac:dyDescent="0.25">
      <c r="B181" t="s">
        <v>232</v>
      </c>
      <c r="C181" s="3" t="s">
        <v>234</v>
      </c>
      <c r="D181" s="3"/>
      <c r="E181" s="3"/>
    </row>
    <row r="182" spans="2:6" x14ac:dyDescent="0.25">
      <c r="B182" t="s">
        <v>263</v>
      </c>
      <c r="C182" s="3"/>
      <c r="D182" s="3"/>
      <c r="E182" s="3"/>
    </row>
    <row r="183" spans="2:6" x14ac:dyDescent="0.25">
      <c r="B183" t="s">
        <v>262</v>
      </c>
      <c r="C183" s="3"/>
      <c r="D183" s="3"/>
      <c r="E183" s="3"/>
    </row>
    <row r="184" spans="2:6" x14ac:dyDescent="0.25">
      <c r="B184" t="s">
        <v>264</v>
      </c>
      <c r="C184" s="3"/>
      <c r="D184" s="3"/>
      <c r="E184" s="3"/>
    </row>
    <row r="185" spans="2:6" x14ac:dyDescent="0.25">
      <c r="B185" s="3"/>
      <c r="C185" s="3"/>
      <c r="D185" s="3"/>
      <c r="E185" s="3"/>
    </row>
    <row r="186" spans="2:6" s="1" customFormat="1" x14ac:dyDescent="0.25">
      <c r="B186" s="1" t="s">
        <v>210</v>
      </c>
    </row>
    <row r="187" spans="2:6" x14ac:dyDescent="0.25">
      <c r="B187" t="s">
        <v>211</v>
      </c>
    </row>
    <row r="188" spans="2:6" x14ac:dyDescent="0.25">
      <c r="B188" t="s">
        <v>212</v>
      </c>
    </row>
    <row r="189" spans="2:6" x14ac:dyDescent="0.25">
      <c r="B189" t="s">
        <v>213</v>
      </c>
    </row>
    <row r="190" spans="2:6" x14ac:dyDescent="0.25">
      <c r="B190" t="s">
        <v>35</v>
      </c>
    </row>
    <row r="191" spans="2:6" x14ac:dyDescent="0.25">
      <c r="B191" t="s">
        <v>36</v>
      </c>
    </row>
    <row r="192" spans="2:6" x14ac:dyDescent="0.25">
      <c r="B192" t="s">
        <v>37</v>
      </c>
    </row>
    <row r="193" spans="2:6" x14ac:dyDescent="0.25">
      <c r="B193" t="s">
        <v>38</v>
      </c>
    </row>
    <row r="194" spans="2:6" x14ac:dyDescent="0.25">
      <c r="B194" t="s">
        <v>240</v>
      </c>
    </row>
    <row r="197" spans="2:6" s="1" customFormat="1" x14ac:dyDescent="0.25">
      <c r="B197" s="2" t="s">
        <v>95</v>
      </c>
      <c r="C197" s="2"/>
      <c r="D197" s="2"/>
      <c r="E197" s="2"/>
      <c r="F197" s="2"/>
    </row>
    <row r="198" spans="2:6" x14ac:dyDescent="0.25">
      <c r="B198" t="s">
        <v>115</v>
      </c>
      <c r="C198" s="3" t="s">
        <v>234</v>
      </c>
      <c r="D198" s="3"/>
      <c r="E198" s="3"/>
    </row>
    <row r="199" spans="2:6" x14ac:dyDescent="0.25">
      <c r="B199" t="s">
        <v>269</v>
      </c>
      <c r="C199" s="3" t="s">
        <v>234</v>
      </c>
      <c r="D199" s="3"/>
      <c r="E199" s="3"/>
    </row>
    <row r="200" spans="2:6" x14ac:dyDescent="0.25">
      <c r="B200" t="s">
        <v>214</v>
      </c>
      <c r="C200" s="3" t="s">
        <v>234</v>
      </c>
      <c r="D200" s="3"/>
      <c r="E200" s="3"/>
    </row>
    <row r="201" spans="2:6" x14ac:dyDescent="0.25">
      <c r="B201" t="s">
        <v>215</v>
      </c>
      <c r="C201" s="3" t="s">
        <v>234</v>
      </c>
      <c r="D201" s="3"/>
      <c r="E201" s="3"/>
    </row>
    <row r="202" spans="2:6" x14ac:dyDescent="0.25">
      <c r="B202" t="s">
        <v>116</v>
      </c>
      <c r="C202" s="3" t="s">
        <v>234</v>
      </c>
      <c r="D202" s="3"/>
      <c r="E202" s="3"/>
    </row>
    <row r="203" spans="2:6" x14ac:dyDescent="0.25">
      <c r="B203" t="s">
        <v>10</v>
      </c>
      <c r="C203" s="3" t="s">
        <v>234</v>
      </c>
      <c r="D203" s="3"/>
      <c r="E203" s="3"/>
    </row>
    <row r="204" spans="2:6" x14ac:dyDescent="0.25">
      <c r="B204" t="s">
        <v>216</v>
      </c>
      <c r="C204" s="3" t="s">
        <v>234</v>
      </c>
      <c r="D204" s="3"/>
      <c r="E204" s="3"/>
    </row>
    <row r="205" spans="2:6" x14ac:dyDescent="0.25">
      <c r="B205" t="s">
        <v>217</v>
      </c>
      <c r="C205" s="3" t="s">
        <v>234</v>
      </c>
      <c r="D205" s="3"/>
      <c r="E205" s="3"/>
    </row>
    <row r="206" spans="2:6" x14ac:dyDescent="0.25">
      <c r="B206" t="s">
        <v>218</v>
      </c>
      <c r="C206" s="3" t="s">
        <v>234</v>
      </c>
      <c r="D206" s="3"/>
      <c r="E206" s="3"/>
    </row>
    <row r="207" spans="2:6" x14ac:dyDescent="0.25">
      <c r="B207" t="s">
        <v>229</v>
      </c>
      <c r="C207" s="3" t="s">
        <v>234</v>
      </c>
      <c r="D207" s="3"/>
      <c r="E207" s="3"/>
    </row>
    <row r="208" spans="2:6" x14ac:dyDescent="0.25">
      <c r="B208" t="s">
        <v>230</v>
      </c>
      <c r="C208" s="3" t="s">
        <v>234</v>
      </c>
      <c r="D208" s="3"/>
      <c r="E208" s="3"/>
    </row>
    <row r="209" spans="2:5" x14ac:dyDescent="0.25">
      <c r="B209" t="s">
        <v>238</v>
      </c>
      <c r="C209" s="3" t="s">
        <v>234</v>
      </c>
      <c r="D209" s="3"/>
      <c r="E209" s="3"/>
    </row>
    <row r="210" spans="2:5" x14ac:dyDescent="0.25">
      <c r="B210" t="s">
        <v>239</v>
      </c>
      <c r="C210" s="3" t="s">
        <v>234</v>
      </c>
      <c r="D210" s="3"/>
      <c r="E210" s="3"/>
    </row>
    <row r="211" spans="2:5" x14ac:dyDescent="0.25">
      <c r="B211" t="s">
        <v>242</v>
      </c>
    </row>
    <row r="214" spans="2:5" s="1" customFormat="1" x14ac:dyDescent="0.25">
      <c r="B214" s="1" t="s">
        <v>118</v>
      </c>
    </row>
    <row r="215" spans="2:5" x14ac:dyDescent="0.25">
      <c r="B215" t="s">
        <v>17</v>
      </c>
    </row>
    <row r="216" spans="2:5" x14ac:dyDescent="0.25">
      <c r="B216" t="s">
        <v>18</v>
      </c>
    </row>
    <row r="217" spans="2:5" x14ac:dyDescent="0.25">
      <c r="B217" t="s">
        <v>24</v>
      </c>
    </row>
    <row r="218" spans="2:5" x14ac:dyDescent="0.25">
      <c r="B218" t="s">
        <v>241</v>
      </c>
    </row>
    <row r="219" spans="2:5" x14ac:dyDescent="0.25">
      <c r="B219" t="s">
        <v>260</v>
      </c>
    </row>
    <row r="221" spans="2:5" x14ac:dyDescent="0.25">
      <c r="B221" s="1" t="s">
        <v>221</v>
      </c>
      <c r="C221" s="1"/>
      <c r="D221" s="1"/>
      <c r="E221" s="1"/>
    </row>
    <row r="222" spans="2:5" x14ac:dyDescent="0.25">
      <c r="B222" t="s">
        <v>222</v>
      </c>
    </row>
    <row r="223" spans="2:5" x14ac:dyDescent="0.25">
      <c r="B223" t="s">
        <v>223</v>
      </c>
    </row>
    <row r="224" spans="2:5" x14ac:dyDescent="0.25">
      <c r="B224" t="s">
        <v>227</v>
      </c>
    </row>
    <row r="225" spans="2:3" x14ac:dyDescent="0.25">
      <c r="B225" t="s">
        <v>224</v>
      </c>
    </row>
    <row r="226" spans="2:3" x14ac:dyDescent="0.25">
      <c r="B226" t="s">
        <v>225</v>
      </c>
    </row>
    <row r="227" spans="2:3" x14ac:dyDescent="0.25">
      <c r="B227" t="s">
        <v>228</v>
      </c>
    </row>
    <row r="228" spans="2:3" x14ac:dyDescent="0.25">
      <c r="B228" t="s">
        <v>226</v>
      </c>
    </row>
    <row r="229" spans="2:3" x14ac:dyDescent="0.25">
      <c r="B229" t="s">
        <v>243</v>
      </c>
      <c r="C229" t="s">
        <v>234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8"/>
  <sheetViews>
    <sheetView workbookViewId="0">
      <selection activeCell="A27" sqref="A27"/>
    </sheetView>
  </sheetViews>
  <sheetFormatPr defaultRowHeight="15" x14ac:dyDescent="0.25"/>
  <cols>
    <col min="1" max="1" width="91.42578125" customWidth="1"/>
  </cols>
  <sheetData>
    <row r="1" spans="1:1" x14ac:dyDescent="0.25">
      <c r="A1" s="11"/>
    </row>
    <row r="2" spans="1:1" x14ac:dyDescent="0.25">
      <c r="A2" s="11"/>
    </row>
    <row r="3" spans="1:1" x14ac:dyDescent="0.25">
      <c r="A3" s="11"/>
    </row>
    <row r="4" spans="1:1" x14ac:dyDescent="0.25">
      <c r="A4" s="11"/>
    </row>
    <row r="5" spans="1:1" x14ac:dyDescent="0.25">
      <c r="A5" s="11"/>
    </row>
    <row r="6" spans="1:1" ht="30" x14ac:dyDescent="0.25">
      <c r="A6" s="11" t="s">
        <v>360</v>
      </c>
    </row>
    <row r="7" spans="1:1" x14ac:dyDescent="0.25">
      <c r="A7" s="11"/>
    </row>
    <row r="8" spans="1:1" x14ac:dyDescent="0.25">
      <c r="A8" s="11"/>
    </row>
    <row r="9" spans="1:1" x14ac:dyDescent="0.25">
      <c r="A9" s="11"/>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3"/>
    </row>
    <row r="110" spans="1:1" x14ac:dyDescent="0.25">
      <c r="A110" s="13"/>
    </row>
    <row r="111" spans="1:1" x14ac:dyDescent="0.25">
      <c r="A111" s="13"/>
    </row>
    <row r="112" spans="1:1" x14ac:dyDescent="0.25">
      <c r="A112" s="13"/>
    </row>
    <row r="113" spans="1:1" x14ac:dyDescent="0.25">
      <c r="A113" s="13"/>
    </row>
    <row r="114" spans="1:1" x14ac:dyDescent="0.25">
      <c r="A114" s="13"/>
    </row>
    <row r="115" spans="1:1" x14ac:dyDescent="0.25">
      <c r="A115" s="13"/>
    </row>
    <row r="116" spans="1:1" x14ac:dyDescent="0.25">
      <c r="A116" s="13"/>
    </row>
    <row r="117" spans="1:1" x14ac:dyDescent="0.25">
      <c r="A117" s="13"/>
    </row>
    <row r="118" spans="1:1" x14ac:dyDescent="0.25">
      <c r="A118" s="13"/>
    </row>
    <row r="119" spans="1:1" x14ac:dyDescent="0.25">
      <c r="A119" s="13"/>
    </row>
    <row r="120" spans="1:1" x14ac:dyDescent="0.25">
      <c r="A120" s="13"/>
    </row>
    <row r="121" spans="1:1" x14ac:dyDescent="0.25">
      <c r="A121" s="13"/>
    </row>
    <row r="122" spans="1:1" x14ac:dyDescent="0.25">
      <c r="A122" s="13"/>
    </row>
    <row r="123" spans="1:1" x14ac:dyDescent="0.25">
      <c r="A123" s="13"/>
    </row>
    <row r="124" spans="1:1" x14ac:dyDescent="0.25">
      <c r="A124" s="13"/>
    </row>
    <row r="125" spans="1:1" x14ac:dyDescent="0.25">
      <c r="A125" s="13"/>
    </row>
    <row r="126" spans="1:1" x14ac:dyDescent="0.25">
      <c r="A126" s="13"/>
    </row>
    <row r="127" spans="1:1" x14ac:dyDescent="0.25">
      <c r="A127" s="13"/>
    </row>
    <row r="128" spans="1:1" x14ac:dyDescent="0.25">
      <c r="A128" s="13"/>
    </row>
    <row r="129" spans="1:1" x14ac:dyDescent="0.25">
      <c r="A129" s="13"/>
    </row>
    <row r="130" spans="1:1" x14ac:dyDescent="0.25">
      <c r="A130" s="13"/>
    </row>
    <row r="131" spans="1:1" x14ac:dyDescent="0.25">
      <c r="A131" s="13"/>
    </row>
    <row r="132" spans="1:1" x14ac:dyDescent="0.25">
      <c r="A132" s="13"/>
    </row>
    <row r="133" spans="1:1" x14ac:dyDescent="0.25">
      <c r="A133" s="13"/>
    </row>
    <row r="134" spans="1:1" x14ac:dyDescent="0.25">
      <c r="A134" s="13"/>
    </row>
    <row r="135" spans="1:1" x14ac:dyDescent="0.25">
      <c r="A135" s="13"/>
    </row>
    <row r="136" spans="1:1" x14ac:dyDescent="0.25">
      <c r="A136" s="13"/>
    </row>
    <row r="137" spans="1:1" x14ac:dyDescent="0.25">
      <c r="A137" s="13"/>
    </row>
    <row r="138" spans="1:1" x14ac:dyDescent="0.25">
      <c r="A138" s="13"/>
    </row>
    <row r="139" spans="1:1" x14ac:dyDescent="0.25">
      <c r="A139" s="13"/>
    </row>
    <row r="140" spans="1:1" x14ac:dyDescent="0.25">
      <c r="A140" s="13"/>
    </row>
    <row r="141" spans="1:1" x14ac:dyDescent="0.25">
      <c r="A141" s="13"/>
    </row>
    <row r="142" spans="1:1" x14ac:dyDescent="0.25">
      <c r="A142" s="13"/>
    </row>
    <row r="143" spans="1:1" x14ac:dyDescent="0.25">
      <c r="A143" s="13"/>
    </row>
    <row r="144" spans="1:1" x14ac:dyDescent="0.25">
      <c r="A144" s="13"/>
    </row>
    <row r="145" spans="1:1" x14ac:dyDescent="0.25">
      <c r="A145" s="13"/>
    </row>
    <row r="146" spans="1:1" x14ac:dyDescent="0.25">
      <c r="A146" s="13"/>
    </row>
    <row r="147" spans="1:1" x14ac:dyDescent="0.25">
      <c r="A147" s="13"/>
    </row>
    <row r="148" spans="1:1" x14ac:dyDescent="0.25">
      <c r="A148" s="13"/>
    </row>
    <row r="149" spans="1:1" x14ac:dyDescent="0.25">
      <c r="A149" s="13"/>
    </row>
    <row r="150" spans="1:1" x14ac:dyDescent="0.25">
      <c r="A150" s="13"/>
    </row>
    <row r="151" spans="1:1" x14ac:dyDescent="0.25">
      <c r="A151" s="13"/>
    </row>
    <row r="152" spans="1:1" x14ac:dyDescent="0.25">
      <c r="A152" s="13"/>
    </row>
    <row r="153" spans="1:1" x14ac:dyDescent="0.25">
      <c r="A153" s="13"/>
    </row>
    <row r="154" spans="1:1" x14ac:dyDescent="0.25">
      <c r="A154" s="13"/>
    </row>
    <row r="155" spans="1:1" x14ac:dyDescent="0.25">
      <c r="A155" s="13"/>
    </row>
    <row r="156" spans="1:1" x14ac:dyDescent="0.25">
      <c r="A156" s="13"/>
    </row>
    <row r="157" spans="1:1" x14ac:dyDescent="0.25">
      <c r="A157" s="13"/>
    </row>
    <row r="158" spans="1:1" x14ac:dyDescent="0.25">
      <c r="A158" s="13"/>
    </row>
    <row r="159" spans="1:1" x14ac:dyDescent="0.25">
      <c r="A159" s="13"/>
    </row>
    <row r="160" spans="1:1" x14ac:dyDescent="0.25">
      <c r="A160" s="13"/>
    </row>
    <row r="161" spans="1:1" x14ac:dyDescent="0.25">
      <c r="A161" s="13"/>
    </row>
    <row r="162" spans="1:1" x14ac:dyDescent="0.25">
      <c r="A162" s="13"/>
    </row>
    <row r="163" spans="1:1" x14ac:dyDescent="0.25">
      <c r="A163" s="13"/>
    </row>
    <row r="164" spans="1:1" x14ac:dyDescent="0.25">
      <c r="A164" s="13"/>
    </row>
    <row r="165" spans="1:1" x14ac:dyDescent="0.25">
      <c r="A165" s="13"/>
    </row>
    <row r="166" spans="1:1" x14ac:dyDescent="0.25">
      <c r="A166" s="13"/>
    </row>
    <row r="167" spans="1:1" x14ac:dyDescent="0.25">
      <c r="A167" s="13"/>
    </row>
    <row r="168" spans="1:1" x14ac:dyDescent="0.25">
      <c r="A168" s="13"/>
    </row>
    <row r="169" spans="1:1" x14ac:dyDescent="0.25">
      <c r="A169" s="13"/>
    </row>
    <row r="170" spans="1:1" x14ac:dyDescent="0.25">
      <c r="A170" s="13"/>
    </row>
    <row r="171" spans="1:1" x14ac:dyDescent="0.25">
      <c r="A171" s="13"/>
    </row>
    <row r="172" spans="1:1" x14ac:dyDescent="0.25">
      <c r="A172" s="13"/>
    </row>
    <row r="173" spans="1:1" x14ac:dyDescent="0.25">
      <c r="A173" s="13"/>
    </row>
    <row r="174" spans="1:1" x14ac:dyDescent="0.25">
      <c r="A174" s="13"/>
    </row>
    <row r="175" spans="1:1" x14ac:dyDescent="0.25">
      <c r="A175" s="13"/>
    </row>
    <row r="176" spans="1:1" x14ac:dyDescent="0.25">
      <c r="A176" s="13"/>
    </row>
    <row r="177" spans="1:1" x14ac:dyDescent="0.25">
      <c r="A177" s="13"/>
    </row>
    <row r="178" spans="1:1" x14ac:dyDescent="0.25">
      <c r="A178" s="13"/>
    </row>
    <row r="179" spans="1:1" x14ac:dyDescent="0.25">
      <c r="A179" s="13"/>
    </row>
    <row r="180" spans="1:1" x14ac:dyDescent="0.25">
      <c r="A180" s="13"/>
    </row>
    <row r="181" spans="1:1" x14ac:dyDescent="0.25">
      <c r="A181" s="13"/>
    </row>
    <row r="182" spans="1:1" x14ac:dyDescent="0.25">
      <c r="A182" s="13"/>
    </row>
    <row r="183" spans="1:1" x14ac:dyDescent="0.25">
      <c r="A183" s="13"/>
    </row>
    <row r="184" spans="1:1" x14ac:dyDescent="0.25">
      <c r="A184" s="13"/>
    </row>
    <row r="185" spans="1:1" x14ac:dyDescent="0.25">
      <c r="A185" s="13"/>
    </row>
    <row r="186" spans="1:1" x14ac:dyDescent="0.25">
      <c r="A186" s="13"/>
    </row>
    <row r="187" spans="1:1" x14ac:dyDescent="0.25">
      <c r="A187" s="13"/>
    </row>
    <row r="188" spans="1:1" x14ac:dyDescent="0.25">
      <c r="A188" s="13"/>
    </row>
    <row r="189" spans="1:1" x14ac:dyDescent="0.25">
      <c r="A189" s="13"/>
    </row>
    <row r="190" spans="1:1" x14ac:dyDescent="0.25">
      <c r="A190" s="13"/>
    </row>
    <row r="191" spans="1:1" x14ac:dyDescent="0.25">
      <c r="A191" s="13"/>
    </row>
    <row r="192" spans="1:1" x14ac:dyDescent="0.25">
      <c r="A192" s="13"/>
    </row>
    <row r="193" spans="1:1" x14ac:dyDescent="0.25">
      <c r="A193" s="13"/>
    </row>
    <row r="194" spans="1:1" x14ac:dyDescent="0.25">
      <c r="A194" s="13"/>
    </row>
    <row r="195" spans="1:1" x14ac:dyDescent="0.25">
      <c r="A195" s="13"/>
    </row>
    <row r="196" spans="1:1" x14ac:dyDescent="0.25">
      <c r="A196" s="13"/>
    </row>
    <row r="197" spans="1:1" x14ac:dyDescent="0.25">
      <c r="A197" s="13"/>
    </row>
    <row r="198" spans="1:1" x14ac:dyDescent="0.25">
      <c r="A198" s="13"/>
    </row>
    <row r="199" spans="1:1" x14ac:dyDescent="0.25">
      <c r="A199" s="13"/>
    </row>
    <row r="200" spans="1:1" x14ac:dyDescent="0.25">
      <c r="A200" s="13"/>
    </row>
    <row r="201" spans="1:1" x14ac:dyDescent="0.25">
      <c r="A201" s="13"/>
    </row>
    <row r="202" spans="1:1" x14ac:dyDescent="0.25">
      <c r="A202" s="13"/>
    </row>
    <row r="203" spans="1:1" x14ac:dyDescent="0.25">
      <c r="A203" s="13"/>
    </row>
    <row r="204" spans="1:1" x14ac:dyDescent="0.25">
      <c r="A204" s="13"/>
    </row>
    <row r="205" spans="1:1" x14ac:dyDescent="0.25">
      <c r="A205" s="13"/>
    </row>
    <row r="206" spans="1:1" x14ac:dyDescent="0.25">
      <c r="A206" s="13"/>
    </row>
    <row r="207" spans="1:1" x14ac:dyDescent="0.25">
      <c r="A207" s="13"/>
    </row>
    <row r="208" spans="1:1" x14ac:dyDescent="0.25">
      <c r="A208" s="13"/>
    </row>
    <row r="209" spans="1:1" x14ac:dyDescent="0.25">
      <c r="A209" s="13"/>
    </row>
    <row r="210" spans="1:1" x14ac:dyDescent="0.25">
      <c r="A210" s="13"/>
    </row>
    <row r="211" spans="1:1" x14ac:dyDescent="0.25">
      <c r="A211" s="13"/>
    </row>
    <row r="212" spans="1:1" x14ac:dyDescent="0.25">
      <c r="A212" s="13"/>
    </row>
    <row r="213" spans="1:1" x14ac:dyDescent="0.25">
      <c r="A213" s="13"/>
    </row>
    <row r="214" spans="1:1" x14ac:dyDescent="0.25">
      <c r="A214" s="13"/>
    </row>
    <row r="215" spans="1:1" x14ac:dyDescent="0.25">
      <c r="A215" s="13"/>
    </row>
    <row r="216" spans="1:1" x14ac:dyDescent="0.25">
      <c r="A216" s="13"/>
    </row>
    <row r="217" spans="1:1" x14ac:dyDescent="0.25">
      <c r="A217" s="13"/>
    </row>
    <row r="218" spans="1:1" x14ac:dyDescent="0.25">
      <c r="A218" s="13"/>
    </row>
    <row r="219" spans="1:1" x14ac:dyDescent="0.25">
      <c r="A219" s="13"/>
    </row>
    <row r="220" spans="1:1" x14ac:dyDescent="0.25">
      <c r="A220" s="13"/>
    </row>
    <row r="221" spans="1:1" x14ac:dyDescent="0.25">
      <c r="A221" s="13"/>
    </row>
    <row r="222" spans="1:1" x14ac:dyDescent="0.25">
      <c r="A222" s="13"/>
    </row>
    <row r="223" spans="1:1" x14ac:dyDescent="0.25">
      <c r="A223" s="13"/>
    </row>
    <row r="224" spans="1:1" x14ac:dyDescent="0.25">
      <c r="A224" s="13"/>
    </row>
    <row r="225" spans="1:1" x14ac:dyDescent="0.25">
      <c r="A225" s="13"/>
    </row>
    <row r="226" spans="1:1" x14ac:dyDescent="0.25">
      <c r="A226" s="13"/>
    </row>
    <row r="227" spans="1:1" x14ac:dyDescent="0.25">
      <c r="A227" s="13"/>
    </row>
    <row r="228" spans="1:1" x14ac:dyDescent="0.25">
      <c r="A228" s="13"/>
    </row>
    <row r="229" spans="1:1" x14ac:dyDescent="0.25">
      <c r="A229" s="13"/>
    </row>
    <row r="230" spans="1:1" x14ac:dyDescent="0.25">
      <c r="A230" s="13"/>
    </row>
    <row r="231" spans="1:1" x14ac:dyDescent="0.25">
      <c r="A231" s="13"/>
    </row>
    <row r="232" spans="1:1" x14ac:dyDescent="0.25">
      <c r="A232" s="13"/>
    </row>
    <row r="233" spans="1:1" x14ac:dyDescent="0.25">
      <c r="A233" s="13"/>
    </row>
    <row r="234" spans="1:1" x14ac:dyDescent="0.25">
      <c r="A234" s="13"/>
    </row>
    <row r="235" spans="1:1" x14ac:dyDescent="0.25">
      <c r="A235" s="13"/>
    </row>
    <row r="236" spans="1:1" x14ac:dyDescent="0.25">
      <c r="A236" s="13"/>
    </row>
    <row r="237" spans="1:1" x14ac:dyDescent="0.25">
      <c r="A237" s="13"/>
    </row>
    <row r="238" spans="1:1" x14ac:dyDescent="0.25">
      <c r="A238" s="13"/>
    </row>
    <row r="239" spans="1:1" x14ac:dyDescent="0.25">
      <c r="A239" s="13"/>
    </row>
    <row r="240" spans="1:1" x14ac:dyDescent="0.25">
      <c r="A240" s="13"/>
    </row>
    <row r="241" spans="1:1" x14ac:dyDescent="0.25">
      <c r="A241" s="13"/>
    </row>
    <row r="242" spans="1:1" x14ac:dyDescent="0.25">
      <c r="A242" s="13"/>
    </row>
    <row r="243" spans="1:1" x14ac:dyDescent="0.25">
      <c r="A243" s="13"/>
    </row>
    <row r="244" spans="1:1" x14ac:dyDescent="0.25">
      <c r="A244" s="13"/>
    </row>
    <row r="245" spans="1:1" x14ac:dyDescent="0.25">
      <c r="A245" s="13"/>
    </row>
    <row r="246" spans="1:1" x14ac:dyDescent="0.25">
      <c r="A246" s="13"/>
    </row>
    <row r="247" spans="1:1" x14ac:dyDescent="0.25">
      <c r="A247" s="13"/>
    </row>
    <row r="248" spans="1:1" x14ac:dyDescent="0.25">
      <c r="A248" s="13"/>
    </row>
    <row r="249" spans="1:1" x14ac:dyDescent="0.25">
      <c r="A249" s="13"/>
    </row>
    <row r="250" spans="1:1" x14ac:dyDescent="0.25">
      <c r="A250" s="13"/>
    </row>
    <row r="251" spans="1:1" x14ac:dyDescent="0.25">
      <c r="A251" s="13"/>
    </row>
    <row r="252" spans="1:1" x14ac:dyDescent="0.25">
      <c r="A252" s="13"/>
    </row>
    <row r="253" spans="1:1" x14ac:dyDescent="0.25">
      <c r="A253" s="13"/>
    </row>
    <row r="254" spans="1:1" x14ac:dyDescent="0.25">
      <c r="A254" s="13"/>
    </row>
    <row r="255" spans="1:1" x14ac:dyDescent="0.25">
      <c r="A255" s="13"/>
    </row>
    <row r="256" spans="1:1" x14ac:dyDescent="0.25">
      <c r="A256" s="13"/>
    </row>
    <row r="257" spans="1:1" x14ac:dyDescent="0.25">
      <c r="A257" s="13"/>
    </row>
    <row r="258" spans="1:1" x14ac:dyDescent="0.25">
      <c r="A258" s="13"/>
    </row>
    <row r="259" spans="1:1" x14ac:dyDescent="0.25">
      <c r="A259" s="13"/>
    </row>
    <row r="260" spans="1:1" x14ac:dyDescent="0.25">
      <c r="A260" s="13"/>
    </row>
    <row r="261" spans="1:1" x14ac:dyDescent="0.25">
      <c r="A261" s="13"/>
    </row>
    <row r="262" spans="1:1" x14ac:dyDescent="0.25">
      <c r="A262" s="13"/>
    </row>
    <row r="263" spans="1:1" x14ac:dyDescent="0.25">
      <c r="A263" s="13"/>
    </row>
    <row r="264" spans="1:1" x14ac:dyDescent="0.25">
      <c r="A264" s="13"/>
    </row>
    <row r="265" spans="1:1" x14ac:dyDescent="0.25">
      <c r="A265" s="13"/>
    </row>
    <row r="266" spans="1:1" x14ac:dyDescent="0.25">
      <c r="A266" s="13"/>
    </row>
    <row r="267" spans="1:1" x14ac:dyDescent="0.25">
      <c r="A267" s="13"/>
    </row>
    <row r="268" spans="1:1" x14ac:dyDescent="0.25">
      <c r="A268" s="13"/>
    </row>
    <row r="269" spans="1:1" x14ac:dyDescent="0.25">
      <c r="A269" s="13"/>
    </row>
    <row r="270" spans="1:1" x14ac:dyDescent="0.25">
      <c r="A270" s="13"/>
    </row>
    <row r="271" spans="1:1" x14ac:dyDescent="0.25">
      <c r="A271" s="13"/>
    </row>
    <row r="272" spans="1:1" x14ac:dyDescent="0.25">
      <c r="A272" s="13"/>
    </row>
    <row r="273" spans="1:1" x14ac:dyDescent="0.25">
      <c r="A273" s="13"/>
    </row>
    <row r="274" spans="1:1" x14ac:dyDescent="0.25">
      <c r="A274" s="13"/>
    </row>
    <row r="275" spans="1:1" x14ac:dyDescent="0.25">
      <c r="A275" s="13"/>
    </row>
    <row r="276" spans="1:1" x14ac:dyDescent="0.25">
      <c r="A276" s="13"/>
    </row>
    <row r="277" spans="1:1" x14ac:dyDescent="0.25">
      <c r="A277" s="13"/>
    </row>
    <row r="278" spans="1:1" x14ac:dyDescent="0.25">
      <c r="A278" s="13"/>
    </row>
    <row r="279" spans="1:1" x14ac:dyDescent="0.25">
      <c r="A279" s="13"/>
    </row>
    <row r="280" spans="1:1" x14ac:dyDescent="0.25">
      <c r="A280" s="13"/>
    </row>
    <row r="281" spans="1:1" x14ac:dyDescent="0.25">
      <c r="A281" s="13"/>
    </row>
    <row r="282" spans="1:1" x14ac:dyDescent="0.25">
      <c r="A282" s="13"/>
    </row>
    <row r="283" spans="1:1" x14ac:dyDescent="0.25">
      <c r="A283" s="13"/>
    </row>
    <row r="284" spans="1:1" x14ac:dyDescent="0.25">
      <c r="A284" s="13"/>
    </row>
    <row r="285" spans="1:1" x14ac:dyDescent="0.25">
      <c r="A285" s="13"/>
    </row>
    <row r="286" spans="1:1" x14ac:dyDescent="0.25">
      <c r="A286" s="13"/>
    </row>
    <row r="287" spans="1:1" x14ac:dyDescent="0.25">
      <c r="A287" s="13"/>
    </row>
    <row r="288" spans="1:1" x14ac:dyDescent="0.25">
      <c r="A288" s="13"/>
    </row>
    <row r="289" spans="1:1" x14ac:dyDescent="0.25">
      <c r="A289" s="13"/>
    </row>
    <row r="290" spans="1:1" x14ac:dyDescent="0.25">
      <c r="A290" s="13"/>
    </row>
    <row r="291" spans="1:1" x14ac:dyDescent="0.25">
      <c r="A291" s="13"/>
    </row>
    <row r="292" spans="1:1" x14ac:dyDescent="0.25">
      <c r="A292" s="13"/>
    </row>
    <row r="293" spans="1:1" x14ac:dyDescent="0.25">
      <c r="A293" s="13"/>
    </row>
    <row r="294" spans="1:1" x14ac:dyDescent="0.25">
      <c r="A294" s="13"/>
    </row>
    <row r="295" spans="1:1" x14ac:dyDescent="0.25">
      <c r="A295" s="13"/>
    </row>
    <row r="296" spans="1:1" x14ac:dyDescent="0.25">
      <c r="A296" s="13"/>
    </row>
    <row r="297" spans="1:1" x14ac:dyDescent="0.25">
      <c r="A297" s="13"/>
    </row>
    <row r="298" spans="1:1" x14ac:dyDescent="0.25">
      <c r="A298" s="13"/>
    </row>
    <row r="299" spans="1:1" x14ac:dyDescent="0.25">
      <c r="A299" s="13"/>
    </row>
    <row r="300" spans="1:1" x14ac:dyDescent="0.25">
      <c r="A300" s="13"/>
    </row>
    <row r="301" spans="1:1" x14ac:dyDescent="0.25">
      <c r="A301" s="13"/>
    </row>
    <row r="302" spans="1:1" x14ac:dyDescent="0.25">
      <c r="A302" s="13"/>
    </row>
    <row r="303" spans="1:1" x14ac:dyDescent="0.25">
      <c r="A303" s="13"/>
    </row>
    <row r="304" spans="1:1" x14ac:dyDescent="0.25">
      <c r="A304" s="13"/>
    </row>
    <row r="305" spans="1:1" x14ac:dyDescent="0.25">
      <c r="A305" s="13"/>
    </row>
    <row r="306" spans="1:1" x14ac:dyDescent="0.25">
      <c r="A306" s="13"/>
    </row>
    <row r="307" spans="1:1" x14ac:dyDescent="0.25">
      <c r="A307" s="13"/>
    </row>
    <row r="308" spans="1:1" x14ac:dyDescent="0.25">
      <c r="A308" s="13"/>
    </row>
    <row r="309" spans="1:1" x14ac:dyDescent="0.25">
      <c r="A309" s="13"/>
    </row>
    <row r="310" spans="1:1" x14ac:dyDescent="0.25">
      <c r="A310" s="13"/>
    </row>
    <row r="311" spans="1:1" x14ac:dyDescent="0.25">
      <c r="A311" s="13"/>
    </row>
    <row r="312" spans="1:1" x14ac:dyDescent="0.25">
      <c r="A312" s="13"/>
    </row>
    <row r="313" spans="1:1" x14ac:dyDescent="0.25">
      <c r="A313" s="13"/>
    </row>
    <row r="314" spans="1:1" x14ac:dyDescent="0.25">
      <c r="A314" s="13"/>
    </row>
    <row r="315" spans="1:1" x14ac:dyDescent="0.25">
      <c r="A315" s="13"/>
    </row>
    <row r="316" spans="1:1" x14ac:dyDescent="0.25">
      <c r="A316" s="13"/>
    </row>
    <row r="317" spans="1:1" x14ac:dyDescent="0.25">
      <c r="A317" s="13"/>
    </row>
    <row r="318" spans="1:1" x14ac:dyDescent="0.25">
      <c r="A318" s="13"/>
    </row>
    <row r="319" spans="1:1" x14ac:dyDescent="0.25">
      <c r="A319" s="13"/>
    </row>
    <row r="320" spans="1:1" x14ac:dyDescent="0.25">
      <c r="A320" s="13"/>
    </row>
    <row r="321" spans="1:1" x14ac:dyDescent="0.25">
      <c r="A321" s="13"/>
    </row>
    <row r="322" spans="1:1" x14ac:dyDescent="0.25">
      <c r="A322" s="13"/>
    </row>
    <row r="323" spans="1:1" x14ac:dyDescent="0.25">
      <c r="A323" s="13"/>
    </row>
    <row r="324" spans="1:1" x14ac:dyDescent="0.25">
      <c r="A324" s="13"/>
    </row>
    <row r="325" spans="1:1" x14ac:dyDescent="0.25">
      <c r="A325" s="13"/>
    </row>
    <row r="326" spans="1:1" x14ac:dyDescent="0.25">
      <c r="A326" s="13"/>
    </row>
    <row r="327" spans="1:1" x14ac:dyDescent="0.25">
      <c r="A327" s="13"/>
    </row>
    <row r="328" spans="1:1" x14ac:dyDescent="0.25">
      <c r="A328" s="13"/>
    </row>
    <row r="329" spans="1:1" x14ac:dyDescent="0.25">
      <c r="A329" s="13"/>
    </row>
    <row r="330" spans="1:1" x14ac:dyDescent="0.25">
      <c r="A330" s="13"/>
    </row>
    <row r="331" spans="1:1" x14ac:dyDescent="0.25">
      <c r="A331" s="13"/>
    </row>
    <row r="332" spans="1:1" x14ac:dyDescent="0.25">
      <c r="A332" s="13"/>
    </row>
    <row r="333" spans="1:1" x14ac:dyDescent="0.25">
      <c r="A333" s="13"/>
    </row>
    <row r="334" spans="1:1" x14ac:dyDescent="0.25">
      <c r="A334" s="13"/>
    </row>
    <row r="335" spans="1:1" x14ac:dyDescent="0.25">
      <c r="A335" s="13"/>
    </row>
    <row r="336" spans="1:1" x14ac:dyDescent="0.25">
      <c r="A336" s="13"/>
    </row>
    <row r="337" spans="1:1" x14ac:dyDescent="0.25">
      <c r="A337" s="13"/>
    </row>
    <row r="338" spans="1:1" x14ac:dyDescent="0.25">
      <c r="A338" s="13"/>
    </row>
    <row r="339" spans="1:1" x14ac:dyDescent="0.25">
      <c r="A339" s="13"/>
    </row>
    <row r="340" spans="1:1" x14ac:dyDescent="0.25">
      <c r="A340" s="13"/>
    </row>
    <row r="341" spans="1:1" x14ac:dyDescent="0.25">
      <c r="A341" s="13"/>
    </row>
    <row r="342" spans="1:1" x14ac:dyDescent="0.25">
      <c r="A342" s="13"/>
    </row>
    <row r="343" spans="1:1" x14ac:dyDescent="0.25">
      <c r="A343" s="13"/>
    </row>
    <row r="344" spans="1:1" x14ac:dyDescent="0.25">
      <c r="A344" s="13"/>
    </row>
    <row r="345" spans="1:1" x14ac:dyDescent="0.25">
      <c r="A345" s="13"/>
    </row>
    <row r="346" spans="1:1" x14ac:dyDescent="0.25">
      <c r="A346" s="13"/>
    </row>
    <row r="347" spans="1:1" x14ac:dyDescent="0.25">
      <c r="A347" s="13"/>
    </row>
    <row r="348" spans="1:1" x14ac:dyDescent="0.25">
      <c r="A348" s="13"/>
    </row>
    <row r="349" spans="1:1" x14ac:dyDescent="0.25">
      <c r="A349" s="13"/>
    </row>
    <row r="350" spans="1:1" x14ac:dyDescent="0.25">
      <c r="A350" s="13"/>
    </row>
    <row r="351" spans="1:1" x14ac:dyDescent="0.25">
      <c r="A351" s="13"/>
    </row>
    <row r="352" spans="1:1" x14ac:dyDescent="0.25">
      <c r="A352" s="13"/>
    </row>
    <row r="353" spans="1:1" x14ac:dyDescent="0.25">
      <c r="A353" s="13"/>
    </row>
    <row r="354" spans="1:1" x14ac:dyDescent="0.25">
      <c r="A354" s="13"/>
    </row>
    <row r="355" spans="1:1" x14ac:dyDescent="0.25">
      <c r="A355" s="13"/>
    </row>
    <row r="356" spans="1:1" x14ac:dyDescent="0.25">
      <c r="A356" s="13"/>
    </row>
    <row r="357" spans="1:1" x14ac:dyDescent="0.25">
      <c r="A357" s="13"/>
    </row>
    <row r="358" spans="1:1" x14ac:dyDescent="0.25">
      <c r="A358" s="13"/>
    </row>
    <row r="359" spans="1:1" x14ac:dyDescent="0.25">
      <c r="A359" s="13"/>
    </row>
    <row r="360" spans="1:1" x14ac:dyDescent="0.25">
      <c r="A360" s="13"/>
    </row>
    <row r="361" spans="1:1" x14ac:dyDescent="0.25">
      <c r="A361" s="13"/>
    </row>
    <row r="362" spans="1:1" x14ac:dyDescent="0.25">
      <c r="A362" s="13"/>
    </row>
    <row r="363" spans="1:1" x14ac:dyDescent="0.25">
      <c r="A363" s="13"/>
    </row>
    <row r="364" spans="1:1" x14ac:dyDescent="0.25">
      <c r="A364" s="13"/>
    </row>
    <row r="365" spans="1:1" x14ac:dyDescent="0.25">
      <c r="A365" s="13"/>
    </row>
    <row r="366" spans="1:1" x14ac:dyDescent="0.25">
      <c r="A366" s="13"/>
    </row>
    <row r="367" spans="1:1" x14ac:dyDescent="0.25">
      <c r="A367" s="13"/>
    </row>
    <row r="368" spans="1:1" x14ac:dyDescent="0.25">
      <c r="A368" s="13"/>
    </row>
    <row r="369" spans="1:1" x14ac:dyDescent="0.25">
      <c r="A369" s="13"/>
    </row>
    <row r="370" spans="1:1" x14ac:dyDescent="0.25">
      <c r="A370" s="13"/>
    </row>
    <row r="371" spans="1:1" x14ac:dyDescent="0.25">
      <c r="A371" s="13"/>
    </row>
    <row r="372" spans="1:1" x14ac:dyDescent="0.25">
      <c r="A372" s="13"/>
    </row>
    <row r="373" spans="1:1" x14ac:dyDescent="0.25">
      <c r="A373" s="13"/>
    </row>
    <row r="374" spans="1:1" x14ac:dyDescent="0.25">
      <c r="A374" s="13"/>
    </row>
    <row r="375" spans="1:1" x14ac:dyDescent="0.25">
      <c r="A375" s="13"/>
    </row>
    <row r="376" spans="1:1" x14ac:dyDescent="0.25">
      <c r="A376" s="13"/>
    </row>
    <row r="377" spans="1:1" x14ac:dyDescent="0.25">
      <c r="A377" s="13"/>
    </row>
    <row r="378" spans="1:1" x14ac:dyDescent="0.25">
      <c r="A378" s="13"/>
    </row>
  </sheetData>
  <pageMargins left="0.39370078740157483" right="0.39370078740157483" top="0.39370078740157483" bottom="0.39370078740157483"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
  <sheetViews>
    <sheetView workbookViewId="0">
      <selection activeCell="C9" sqref="C9"/>
    </sheetView>
  </sheetViews>
  <sheetFormatPr defaultRowHeight="15" x14ac:dyDescent="0.25"/>
  <sheetData>
    <row r="8" spans="3:3" x14ac:dyDescent="0.25">
      <c r="C8" t="s">
        <v>361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workbookViewId="0">
      <selection sqref="A1:A5"/>
    </sheetView>
  </sheetViews>
  <sheetFormatPr defaultRowHeight="15" x14ac:dyDescent="0.25"/>
  <cols>
    <col min="1" max="1" width="98.7109375" style="12" bestFit="1" customWidth="1"/>
  </cols>
  <sheetData>
    <row r="1" spans="1:1" x14ac:dyDescent="0.25">
      <c r="A1" s="11" t="s">
        <v>194</v>
      </c>
    </row>
    <row r="2" spans="1:1" x14ac:dyDescent="0.25">
      <c r="A2" s="11" t="s">
        <v>195</v>
      </c>
    </row>
    <row r="3" spans="1:1" x14ac:dyDescent="0.25">
      <c r="A3" s="11" t="s">
        <v>196</v>
      </c>
    </row>
    <row r="4" spans="1:1" ht="30" x14ac:dyDescent="0.25">
      <c r="A4" s="11" t="s">
        <v>197</v>
      </c>
    </row>
    <row r="5" spans="1:1" x14ac:dyDescent="0.25">
      <c r="A5" s="11" t="s">
        <v>272</v>
      </c>
    </row>
    <row r="6" spans="1:1" x14ac:dyDescent="0.25">
      <c r="A6" s="11"/>
    </row>
    <row r="7" spans="1:1" x14ac:dyDescent="0.25">
      <c r="A7" s="11"/>
    </row>
    <row r="8" spans="1:1" x14ac:dyDescent="0.25">
      <c r="A8" s="11"/>
    </row>
    <row r="9" spans="1:1" x14ac:dyDescent="0.25">
      <c r="A9" s="11"/>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1"/>
    </row>
    <row r="110" spans="1:1" x14ac:dyDescent="0.25">
      <c r="A110" s="11"/>
    </row>
    <row r="111" spans="1:1" x14ac:dyDescent="0.25">
      <c r="A111" s="11"/>
    </row>
    <row r="112" spans="1:1" x14ac:dyDescent="0.25">
      <c r="A112" s="11"/>
    </row>
    <row r="113" spans="1:1" x14ac:dyDescent="0.25">
      <c r="A113" s="11"/>
    </row>
    <row r="114" spans="1:1" x14ac:dyDescent="0.25">
      <c r="A114" s="11"/>
    </row>
    <row r="115" spans="1:1" x14ac:dyDescent="0.25">
      <c r="A115" s="11"/>
    </row>
    <row r="116" spans="1:1" x14ac:dyDescent="0.25">
      <c r="A116" s="11"/>
    </row>
    <row r="117" spans="1:1" x14ac:dyDescent="0.25">
      <c r="A117" s="11"/>
    </row>
    <row r="118" spans="1:1" x14ac:dyDescent="0.25">
      <c r="A118" s="11"/>
    </row>
    <row r="119" spans="1:1" x14ac:dyDescent="0.25">
      <c r="A119" s="11"/>
    </row>
  </sheetData>
  <pageMargins left="0.39370078740157483" right="0.39370078740157483" top="0.39370078740157483" bottom="0.39370078740157483" header="0" footer="0"/>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opLeftCell="A43" workbookViewId="0">
      <selection activeCell="C61" sqref="C61"/>
    </sheetView>
  </sheetViews>
  <sheetFormatPr defaultColWidth="9.140625" defaultRowHeight="15" x14ac:dyDescent="0.25"/>
  <cols>
    <col min="1" max="1" width="88.42578125" style="5" customWidth="1"/>
    <col min="2" max="16384" width="9.140625" style="5"/>
  </cols>
  <sheetData>
    <row r="1" spans="1:1" s="4" customFormat="1" x14ac:dyDescent="0.25">
      <c r="A1" s="10" t="s">
        <v>276</v>
      </c>
    </row>
    <row r="2" spans="1:1" s="4" customFormat="1" x14ac:dyDescent="0.25">
      <c r="A2" s="10"/>
    </row>
    <row r="3" spans="1:1" ht="30" x14ac:dyDescent="0.25">
      <c r="A3" s="10" t="s">
        <v>175</v>
      </c>
    </row>
    <row r="4" spans="1:1" s="6" customFormat="1" x14ac:dyDescent="0.25">
      <c r="A4" s="10" t="s">
        <v>174</v>
      </c>
    </row>
    <row r="5" spans="1:1" s="6" customFormat="1" x14ac:dyDescent="0.25">
      <c r="A5" s="7"/>
    </row>
    <row r="6" spans="1:1" s="6" customFormat="1" x14ac:dyDescent="0.25">
      <c r="A6" s="8" t="s">
        <v>176</v>
      </c>
    </row>
    <row r="7" spans="1:1" s="4" customFormat="1" ht="30" x14ac:dyDescent="0.25">
      <c r="A7" s="7" t="s">
        <v>177</v>
      </c>
    </row>
    <row r="8" spans="1:1" s="6" customFormat="1" x14ac:dyDescent="0.25">
      <c r="A8" s="8" t="s">
        <v>178</v>
      </c>
    </row>
    <row r="9" spans="1:1" s="6" customFormat="1" x14ac:dyDescent="0.25">
      <c r="A9" s="8" t="s">
        <v>150</v>
      </c>
    </row>
    <row r="10" spans="1:1" s="6" customFormat="1" x14ac:dyDescent="0.25">
      <c r="A10" s="8"/>
    </row>
    <row r="11" spans="1:1" s="6" customFormat="1" x14ac:dyDescent="0.25">
      <c r="A11" s="8" t="s">
        <v>179</v>
      </c>
    </row>
    <row r="12" spans="1:1" s="6" customFormat="1" x14ac:dyDescent="0.25">
      <c r="A12" s="8" t="s">
        <v>180</v>
      </c>
    </row>
    <row r="13" spans="1:1" s="6" customFormat="1" ht="45" x14ac:dyDescent="0.25">
      <c r="A13" s="8" t="s">
        <v>181</v>
      </c>
    </row>
    <row r="14" spans="1:1" s="6" customFormat="1" x14ac:dyDescent="0.25">
      <c r="A14" s="8" t="s">
        <v>182</v>
      </c>
    </row>
    <row r="15" spans="1:1" s="4" customFormat="1" x14ac:dyDescent="0.25">
      <c r="A15" s="7" t="s">
        <v>138</v>
      </c>
    </row>
    <row r="16" spans="1:1" s="4" customFormat="1" x14ac:dyDescent="0.25">
      <c r="A16" s="7" t="s">
        <v>139</v>
      </c>
    </row>
    <row r="17" spans="1:1" s="4" customFormat="1" x14ac:dyDescent="0.25">
      <c r="A17" s="7" t="s">
        <v>140</v>
      </c>
    </row>
    <row r="18" spans="1:1" s="4" customFormat="1" x14ac:dyDescent="0.25">
      <c r="A18" s="7" t="s">
        <v>183</v>
      </c>
    </row>
    <row r="19" spans="1:1" s="4" customFormat="1" x14ac:dyDescent="0.25">
      <c r="A19" s="7" t="s">
        <v>184</v>
      </c>
    </row>
    <row r="20" spans="1:1" s="6" customFormat="1" ht="30" x14ac:dyDescent="0.25">
      <c r="A20" s="8" t="s">
        <v>274</v>
      </c>
    </row>
    <row r="21" spans="1:1" s="6" customFormat="1" ht="30" x14ac:dyDescent="0.25">
      <c r="A21" s="8" t="s">
        <v>275</v>
      </c>
    </row>
    <row r="22" spans="1:1" s="6" customFormat="1" ht="60" x14ac:dyDescent="0.25">
      <c r="A22" s="8" t="s">
        <v>185</v>
      </c>
    </row>
    <row r="23" spans="1:1" s="6" customFormat="1" ht="45" x14ac:dyDescent="0.25">
      <c r="A23" s="8" t="s">
        <v>186</v>
      </c>
    </row>
    <row r="24" spans="1:1" s="6" customFormat="1" ht="30" x14ac:dyDescent="0.25">
      <c r="A24" s="8" t="s">
        <v>187</v>
      </c>
    </row>
    <row r="25" spans="1:1" s="6" customFormat="1" x14ac:dyDescent="0.25">
      <c r="A25" s="8"/>
    </row>
    <row r="26" spans="1:1" x14ac:dyDescent="0.25">
      <c r="A26" s="9" t="s">
        <v>155</v>
      </c>
    </row>
    <row r="27" spans="1:1" s="4" customFormat="1" x14ac:dyDescent="0.25">
      <c r="A27" s="7" t="s">
        <v>152</v>
      </c>
    </row>
    <row r="28" spans="1:1" x14ac:dyDescent="0.25">
      <c r="A28" s="9" t="s">
        <v>188</v>
      </c>
    </row>
    <row r="29" spans="1:1" x14ac:dyDescent="0.25">
      <c r="A29" s="7" t="s">
        <v>154</v>
      </c>
    </row>
    <row r="30" spans="1:1" x14ac:dyDescent="0.25">
      <c r="A30" s="8" t="s">
        <v>156</v>
      </c>
    </row>
    <row r="31" spans="1:1" x14ac:dyDescent="0.25">
      <c r="A31" s="8" t="s">
        <v>157</v>
      </c>
    </row>
    <row r="32" spans="1:1" x14ac:dyDescent="0.25">
      <c r="A32" s="8" t="s">
        <v>158</v>
      </c>
    </row>
    <row r="33" spans="1:1" x14ac:dyDescent="0.25">
      <c r="A33" s="9" t="s">
        <v>141</v>
      </c>
    </row>
    <row r="34" spans="1:1" x14ac:dyDescent="0.25">
      <c r="A34" s="7" t="s">
        <v>153</v>
      </c>
    </row>
    <row r="35" spans="1:1" ht="30" x14ac:dyDescent="0.25">
      <c r="A35" s="9" t="s">
        <v>159</v>
      </c>
    </row>
    <row r="36" spans="1:1" s="4" customFormat="1" x14ac:dyDescent="0.25">
      <c r="A36" s="7" t="s">
        <v>160</v>
      </c>
    </row>
    <row r="37" spans="1:1" s="6" customFormat="1" ht="30" x14ac:dyDescent="0.25">
      <c r="A37" s="8" t="s">
        <v>161</v>
      </c>
    </row>
    <row r="38" spans="1:1" s="4" customFormat="1" ht="30" x14ac:dyDescent="0.25">
      <c r="A38" s="7" t="s">
        <v>162</v>
      </c>
    </row>
    <row r="39" spans="1:1" ht="30" x14ac:dyDescent="0.25">
      <c r="A39" s="9" t="s">
        <v>142</v>
      </c>
    </row>
    <row r="40" spans="1:1" x14ac:dyDescent="0.25">
      <c r="A40" s="9"/>
    </row>
    <row r="41" spans="1:1" s="6" customFormat="1" ht="30" x14ac:dyDescent="0.25">
      <c r="A41" s="8" t="s">
        <v>166</v>
      </c>
    </row>
    <row r="42" spans="1:1" s="4" customFormat="1" ht="30" x14ac:dyDescent="0.25">
      <c r="A42" s="7" t="s">
        <v>165</v>
      </c>
    </row>
    <row r="43" spans="1:1" x14ac:dyDescent="0.25">
      <c r="A43" s="7" t="s">
        <v>163</v>
      </c>
    </row>
    <row r="44" spans="1:1" s="6" customFormat="1" x14ac:dyDescent="0.25">
      <c r="A44" s="8" t="s">
        <v>164</v>
      </c>
    </row>
    <row r="45" spans="1:1" x14ac:dyDescent="0.25">
      <c r="A45" s="9"/>
    </row>
    <row r="46" spans="1:1" ht="30" x14ac:dyDescent="0.25">
      <c r="A46" s="9" t="s">
        <v>189</v>
      </c>
    </row>
    <row r="47" spans="1:1" s="4" customFormat="1" x14ac:dyDescent="0.25">
      <c r="A47" s="7" t="s">
        <v>170</v>
      </c>
    </row>
    <row r="48" spans="1:1" x14ac:dyDescent="0.25">
      <c r="A48" s="9" t="s">
        <v>171</v>
      </c>
    </row>
    <row r="49" spans="1:2" ht="30" x14ac:dyDescent="0.25">
      <c r="A49" s="7" t="s">
        <v>172</v>
      </c>
    </row>
    <row r="50" spans="1:2" x14ac:dyDescent="0.25">
      <c r="A50" s="7"/>
    </row>
    <row r="51" spans="1:2" ht="30" x14ac:dyDescent="0.25">
      <c r="A51" s="9" t="s">
        <v>143</v>
      </c>
    </row>
    <row r="52" spans="1:2" x14ac:dyDescent="0.25">
      <c r="A52" s="9"/>
    </row>
    <row r="53" spans="1:2" x14ac:dyDescent="0.25">
      <c r="A53" s="9" t="s">
        <v>167</v>
      </c>
    </row>
    <row r="54" spans="1:2" ht="30" x14ac:dyDescent="0.25">
      <c r="A54" s="9" t="s">
        <v>168</v>
      </c>
    </row>
    <row r="55" spans="1:2" ht="165" x14ac:dyDescent="0.25">
      <c r="A55" s="9" t="s">
        <v>169</v>
      </c>
      <c r="B55" s="5" t="s">
        <v>362</v>
      </c>
    </row>
    <row r="56" spans="1:2" x14ac:dyDescent="0.25">
      <c r="A56" s="9"/>
    </row>
    <row r="57" spans="1:2" x14ac:dyDescent="0.25">
      <c r="A57" s="9" t="s">
        <v>173</v>
      </c>
    </row>
    <row r="58" spans="1:2" x14ac:dyDescent="0.25">
      <c r="A58" s="9" t="s">
        <v>151</v>
      </c>
    </row>
    <row r="60" spans="1:2" x14ac:dyDescent="0.25">
      <c r="A60" s="5" t="s">
        <v>301</v>
      </c>
    </row>
    <row r="62" spans="1:2" ht="30" x14ac:dyDescent="0.25">
      <c r="A62" s="5" t="s">
        <v>300</v>
      </c>
    </row>
  </sheetData>
  <pageMargins left="0.39370078740157483" right="0.39370078740157483" top="0.39370078740157483" bottom="0.39370078740157483" header="0" footer="0"/>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workbookViewId="0">
      <selection activeCell="A25" sqref="A25"/>
    </sheetView>
  </sheetViews>
  <sheetFormatPr defaultRowHeight="15" x14ac:dyDescent="0.25"/>
  <cols>
    <col min="1" max="1" width="98.7109375" style="12" bestFit="1" customWidth="1"/>
  </cols>
  <sheetData>
    <row r="1" spans="1:1" x14ac:dyDescent="0.25">
      <c r="A1" s="11" t="s">
        <v>192</v>
      </c>
    </row>
    <row r="2" spans="1:1" x14ac:dyDescent="0.25">
      <c r="A2" s="11" t="s">
        <v>145</v>
      </c>
    </row>
    <row r="3" spans="1:1" x14ac:dyDescent="0.25">
      <c r="A3" s="11" t="s">
        <v>146</v>
      </c>
    </row>
    <row r="4" spans="1:1" x14ac:dyDescent="0.25">
      <c r="A4" s="11" t="s">
        <v>147</v>
      </c>
    </row>
    <row r="5" spans="1:1" ht="30" x14ac:dyDescent="0.25">
      <c r="A5" s="11" t="s">
        <v>190</v>
      </c>
    </row>
    <row r="6" spans="1:1" x14ac:dyDescent="0.25">
      <c r="A6" s="11" t="s">
        <v>191</v>
      </c>
    </row>
    <row r="7" spans="1:1" ht="30" x14ac:dyDescent="0.25">
      <c r="A7" s="11" t="s">
        <v>148</v>
      </c>
    </row>
    <row r="8" spans="1:1" ht="30" x14ac:dyDescent="0.25">
      <c r="A8" s="11" t="s">
        <v>149</v>
      </c>
    </row>
    <row r="9" spans="1:1" x14ac:dyDescent="0.25">
      <c r="A9" s="11"/>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1"/>
    </row>
    <row r="110" spans="1:1" x14ac:dyDescent="0.25">
      <c r="A110" s="11"/>
    </row>
    <row r="111" spans="1:1" x14ac:dyDescent="0.25">
      <c r="A111" s="11"/>
    </row>
    <row r="112" spans="1:1" x14ac:dyDescent="0.25">
      <c r="A112" s="11"/>
    </row>
    <row r="113" spans="1:1" x14ac:dyDescent="0.25">
      <c r="A113" s="11"/>
    </row>
    <row r="114" spans="1:1" x14ac:dyDescent="0.25">
      <c r="A114" s="11"/>
    </row>
    <row r="115" spans="1:1" x14ac:dyDescent="0.25">
      <c r="A115" s="11"/>
    </row>
    <row r="116" spans="1:1" x14ac:dyDescent="0.25">
      <c r="A116" s="11"/>
    </row>
    <row r="117" spans="1:1" x14ac:dyDescent="0.25">
      <c r="A117" s="11"/>
    </row>
    <row r="118" spans="1:1" x14ac:dyDescent="0.25">
      <c r="A118" s="11"/>
    </row>
    <row r="119" spans="1:1" x14ac:dyDescent="0.25">
      <c r="A119" s="11"/>
    </row>
  </sheetData>
  <pageMargins left="0.39370078740157483" right="0.39370078740157483" top="0.39370078740157483" bottom="0.39370078740157483" header="0" footer="0"/>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2"/>
  <sheetViews>
    <sheetView workbookViewId="0">
      <selection activeCell="A2" sqref="A2:A6"/>
    </sheetView>
  </sheetViews>
  <sheetFormatPr defaultRowHeight="15" x14ac:dyDescent="0.25"/>
  <cols>
    <col min="1" max="1" width="138.85546875" style="12" bestFit="1" customWidth="1"/>
  </cols>
  <sheetData>
    <row r="1" spans="1:1" x14ac:dyDescent="0.25">
      <c r="A1" s="11" t="s">
        <v>193</v>
      </c>
    </row>
    <row r="2" spans="1:1" x14ac:dyDescent="0.25">
      <c r="A2" s="11" t="s">
        <v>273</v>
      </c>
    </row>
    <row r="3" spans="1:1" x14ac:dyDescent="0.25">
      <c r="A3" s="11"/>
    </row>
    <row r="4" spans="1:1" x14ac:dyDescent="0.25">
      <c r="A4" s="11"/>
    </row>
    <row r="5" spans="1:1" x14ac:dyDescent="0.25">
      <c r="A5" s="11"/>
    </row>
    <row r="6" spans="1:1" x14ac:dyDescent="0.25">
      <c r="A6" s="11"/>
    </row>
    <row r="7" spans="1:1" x14ac:dyDescent="0.25">
      <c r="A7" s="11"/>
    </row>
    <row r="8" spans="1:1" x14ac:dyDescent="0.25">
      <c r="A8" s="11"/>
    </row>
    <row r="9" spans="1:1" x14ac:dyDescent="0.25">
      <c r="A9" s="11"/>
    </row>
    <row r="10" spans="1:1" x14ac:dyDescent="0.25">
      <c r="A10" s="11"/>
    </row>
    <row r="11" spans="1:1" x14ac:dyDescent="0.25">
      <c r="A11" s="11"/>
    </row>
    <row r="12" spans="1:1" x14ac:dyDescent="0.25">
      <c r="A12" s="11"/>
    </row>
    <row r="13" spans="1:1" x14ac:dyDescent="0.25">
      <c r="A13" s="11"/>
    </row>
    <row r="14" spans="1:1" x14ac:dyDescent="0.25">
      <c r="A14" s="11"/>
    </row>
    <row r="15" spans="1:1" x14ac:dyDescent="0.25">
      <c r="A15" s="11"/>
    </row>
    <row r="16" spans="1:1" x14ac:dyDescent="0.25">
      <c r="A16" s="11"/>
    </row>
    <row r="17" spans="1:1" x14ac:dyDescent="0.25">
      <c r="A17" s="11"/>
    </row>
    <row r="18" spans="1:1" x14ac:dyDescent="0.25">
      <c r="A18"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row r="25" spans="1:1" x14ac:dyDescent="0.25">
      <c r="A25" s="11"/>
    </row>
    <row r="26" spans="1:1" x14ac:dyDescent="0.25">
      <c r="A26" s="11"/>
    </row>
    <row r="27" spans="1:1" x14ac:dyDescent="0.25">
      <c r="A27" s="11"/>
    </row>
    <row r="28" spans="1:1" x14ac:dyDescent="0.25">
      <c r="A28" s="11"/>
    </row>
    <row r="29" spans="1:1" x14ac:dyDescent="0.25">
      <c r="A29" s="11"/>
    </row>
    <row r="30" spans="1:1" x14ac:dyDescent="0.25">
      <c r="A30" s="11"/>
    </row>
    <row r="31" spans="1:1" x14ac:dyDescent="0.25">
      <c r="A31" s="11"/>
    </row>
    <row r="32" spans="1:1" x14ac:dyDescent="0.25">
      <c r="A32" s="11"/>
    </row>
    <row r="33" spans="1:1" x14ac:dyDescent="0.25">
      <c r="A33" s="11"/>
    </row>
    <row r="34" spans="1:1" x14ac:dyDescent="0.25">
      <c r="A34" s="11"/>
    </row>
    <row r="35" spans="1:1" x14ac:dyDescent="0.25">
      <c r="A35" s="11"/>
    </row>
    <row r="36" spans="1:1" x14ac:dyDescent="0.25">
      <c r="A36" s="11"/>
    </row>
    <row r="37" spans="1:1" x14ac:dyDescent="0.25">
      <c r="A37" s="11"/>
    </row>
    <row r="38" spans="1:1" x14ac:dyDescent="0.25">
      <c r="A38" s="11"/>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1"/>
    </row>
    <row r="45" spans="1:1" x14ac:dyDescent="0.25">
      <c r="A45" s="11"/>
    </row>
    <row r="46" spans="1:1" x14ac:dyDescent="0.25">
      <c r="A46" s="11"/>
    </row>
    <row r="47" spans="1:1" x14ac:dyDescent="0.25">
      <c r="A47" s="11"/>
    </row>
    <row r="48" spans="1:1" x14ac:dyDescent="0.25">
      <c r="A48" s="11"/>
    </row>
    <row r="49" spans="1:1" x14ac:dyDescent="0.25">
      <c r="A49" s="11"/>
    </row>
    <row r="50" spans="1:1" x14ac:dyDescent="0.25">
      <c r="A50" s="11"/>
    </row>
    <row r="51" spans="1:1" x14ac:dyDescent="0.25">
      <c r="A51" s="11"/>
    </row>
    <row r="52" spans="1:1" x14ac:dyDescent="0.25">
      <c r="A52" s="11"/>
    </row>
    <row r="53" spans="1:1" x14ac:dyDescent="0.25">
      <c r="A53" s="11"/>
    </row>
    <row r="54" spans="1:1" x14ac:dyDescent="0.25">
      <c r="A54" s="11"/>
    </row>
    <row r="55" spans="1:1" x14ac:dyDescent="0.25">
      <c r="A55" s="11"/>
    </row>
    <row r="56" spans="1:1" x14ac:dyDescent="0.25">
      <c r="A56" s="11"/>
    </row>
    <row r="57" spans="1:1" x14ac:dyDescent="0.25">
      <c r="A57" s="11"/>
    </row>
    <row r="58" spans="1:1" x14ac:dyDescent="0.25">
      <c r="A58" s="11"/>
    </row>
    <row r="59" spans="1:1" x14ac:dyDescent="0.25">
      <c r="A59" s="11"/>
    </row>
    <row r="60" spans="1:1" x14ac:dyDescent="0.25">
      <c r="A60" s="11"/>
    </row>
    <row r="61" spans="1:1" x14ac:dyDescent="0.25">
      <c r="A61" s="11"/>
    </row>
    <row r="62" spans="1:1" x14ac:dyDescent="0.25">
      <c r="A62" s="11"/>
    </row>
    <row r="63" spans="1:1" x14ac:dyDescent="0.25">
      <c r="A63" s="11"/>
    </row>
    <row r="64" spans="1:1" x14ac:dyDescent="0.25">
      <c r="A64" s="11"/>
    </row>
    <row r="65" spans="1:1" x14ac:dyDescent="0.25">
      <c r="A65" s="11"/>
    </row>
    <row r="66" spans="1:1" x14ac:dyDescent="0.25">
      <c r="A66" s="11"/>
    </row>
    <row r="67" spans="1:1" x14ac:dyDescent="0.25">
      <c r="A67" s="11"/>
    </row>
    <row r="68" spans="1:1" x14ac:dyDescent="0.25">
      <c r="A68" s="11"/>
    </row>
    <row r="69" spans="1:1" x14ac:dyDescent="0.25">
      <c r="A69" s="11"/>
    </row>
    <row r="70" spans="1:1" x14ac:dyDescent="0.25">
      <c r="A70" s="11"/>
    </row>
    <row r="71" spans="1:1" x14ac:dyDescent="0.25">
      <c r="A71" s="11"/>
    </row>
    <row r="72" spans="1:1" x14ac:dyDescent="0.25">
      <c r="A72" s="11"/>
    </row>
    <row r="73" spans="1:1" x14ac:dyDescent="0.25">
      <c r="A73" s="11"/>
    </row>
    <row r="74" spans="1:1" x14ac:dyDescent="0.25">
      <c r="A74" s="11"/>
    </row>
    <row r="75" spans="1:1" x14ac:dyDescent="0.25">
      <c r="A75" s="11"/>
    </row>
    <row r="76" spans="1:1" x14ac:dyDescent="0.25">
      <c r="A76" s="11"/>
    </row>
    <row r="77" spans="1:1" x14ac:dyDescent="0.25">
      <c r="A77" s="11"/>
    </row>
    <row r="78" spans="1:1" x14ac:dyDescent="0.25">
      <c r="A78" s="11"/>
    </row>
    <row r="79" spans="1:1" x14ac:dyDescent="0.25">
      <c r="A79" s="11"/>
    </row>
    <row r="80" spans="1:1" x14ac:dyDescent="0.25">
      <c r="A80" s="11"/>
    </row>
    <row r="81" spans="1:1" x14ac:dyDescent="0.25">
      <c r="A81" s="11"/>
    </row>
    <row r="82" spans="1:1" x14ac:dyDescent="0.25">
      <c r="A82" s="11"/>
    </row>
    <row r="83" spans="1:1" x14ac:dyDescent="0.25">
      <c r="A83" s="11"/>
    </row>
    <row r="84" spans="1:1" x14ac:dyDescent="0.25">
      <c r="A84" s="11"/>
    </row>
    <row r="85" spans="1:1" x14ac:dyDescent="0.25">
      <c r="A85" s="11"/>
    </row>
    <row r="86" spans="1:1" x14ac:dyDescent="0.25">
      <c r="A86" s="11"/>
    </row>
    <row r="87" spans="1:1" x14ac:dyDescent="0.25">
      <c r="A87" s="11"/>
    </row>
    <row r="88" spans="1:1" x14ac:dyDescent="0.25">
      <c r="A88" s="11"/>
    </row>
    <row r="89" spans="1:1" x14ac:dyDescent="0.25">
      <c r="A89" s="11"/>
    </row>
    <row r="90" spans="1:1" x14ac:dyDescent="0.25">
      <c r="A90" s="11"/>
    </row>
    <row r="91" spans="1:1" x14ac:dyDescent="0.25">
      <c r="A91" s="11"/>
    </row>
    <row r="92" spans="1:1" x14ac:dyDescent="0.25">
      <c r="A92" s="11"/>
    </row>
    <row r="93" spans="1:1" x14ac:dyDescent="0.25">
      <c r="A93" s="11"/>
    </row>
    <row r="94" spans="1:1" x14ac:dyDescent="0.25">
      <c r="A94" s="11"/>
    </row>
    <row r="95" spans="1:1" x14ac:dyDescent="0.25">
      <c r="A95" s="11"/>
    </row>
    <row r="96" spans="1:1" x14ac:dyDescent="0.25">
      <c r="A96" s="11"/>
    </row>
    <row r="97" spans="1:1" x14ac:dyDescent="0.25">
      <c r="A97" s="11"/>
    </row>
    <row r="98" spans="1:1" x14ac:dyDescent="0.25">
      <c r="A98" s="11"/>
    </row>
    <row r="99" spans="1:1" x14ac:dyDescent="0.25">
      <c r="A99" s="11"/>
    </row>
    <row r="100" spans="1:1" x14ac:dyDescent="0.25">
      <c r="A100" s="11"/>
    </row>
    <row r="101" spans="1:1" x14ac:dyDescent="0.25">
      <c r="A101" s="11"/>
    </row>
    <row r="102" spans="1:1" x14ac:dyDescent="0.25">
      <c r="A102" s="11"/>
    </row>
    <row r="103" spans="1:1" x14ac:dyDescent="0.25">
      <c r="A103" s="11"/>
    </row>
    <row r="104" spans="1:1" x14ac:dyDescent="0.25">
      <c r="A104" s="11"/>
    </row>
    <row r="105" spans="1:1" x14ac:dyDescent="0.25">
      <c r="A105" s="11"/>
    </row>
    <row r="106" spans="1:1" x14ac:dyDescent="0.25">
      <c r="A106" s="11"/>
    </row>
    <row r="107" spans="1:1" x14ac:dyDescent="0.25">
      <c r="A107" s="11"/>
    </row>
    <row r="108" spans="1:1" x14ac:dyDescent="0.25">
      <c r="A108" s="11"/>
    </row>
    <row r="109" spans="1:1" x14ac:dyDescent="0.25">
      <c r="A109" s="11"/>
    </row>
    <row r="110" spans="1:1" x14ac:dyDescent="0.25">
      <c r="A110" s="11"/>
    </row>
    <row r="111" spans="1:1" x14ac:dyDescent="0.25">
      <c r="A111" s="11"/>
    </row>
    <row r="112" spans="1:1" x14ac:dyDescent="0.25">
      <c r="A112" s="11"/>
    </row>
    <row r="113" spans="1:1" x14ac:dyDescent="0.25">
      <c r="A113" s="11"/>
    </row>
    <row r="114" spans="1:1" x14ac:dyDescent="0.25">
      <c r="A114" s="11"/>
    </row>
    <row r="115" spans="1:1" x14ac:dyDescent="0.25">
      <c r="A115" s="11"/>
    </row>
    <row r="116" spans="1:1" x14ac:dyDescent="0.25">
      <c r="A116" s="11"/>
    </row>
    <row r="117" spans="1:1" x14ac:dyDescent="0.25">
      <c r="A117" s="11"/>
    </row>
    <row r="118" spans="1:1" x14ac:dyDescent="0.25">
      <c r="A118" s="11"/>
    </row>
    <row r="119" spans="1:1" x14ac:dyDescent="0.25">
      <c r="A119" s="11"/>
    </row>
    <row r="120" spans="1:1" x14ac:dyDescent="0.25">
      <c r="A120" s="11"/>
    </row>
    <row r="121" spans="1:1" x14ac:dyDescent="0.25">
      <c r="A121" s="11"/>
    </row>
    <row r="122" spans="1:1" x14ac:dyDescent="0.25">
      <c r="A122" s="11"/>
    </row>
    <row r="123" spans="1:1" x14ac:dyDescent="0.25">
      <c r="A123" s="11"/>
    </row>
    <row r="124" spans="1:1" x14ac:dyDescent="0.25">
      <c r="A124" s="11"/>
    </row>
    <row r="125" spans="1:1" x14ac:dyDescent="0.25">
      <c r="A125" s="11"/>
    </row>
    <row r="126" spans="1:1" x14ac:dyDescent="0.25">
      <c r="A126" s="11"/>
    </row>
    <row r="127" spans="1:1" x14ac:dyDescent="0.25">
      <c r="A127" s="11"/>
    </row>
    <row r="128" spans="1:1" x14ac:dyDescent="0.25">
      <c r="A128" s="11"/>
    </row>
    <row r="129" spans="1:1" x14ac:dyDescent="0.25">
      <c r="A129" s="11"/>
    </row>
    <row r="130" spans="1:1" x14ac:dyDescent="0.25">
      <c r="A130" s="11"/>
    </row>
    <row r="131" spans="1:1" x14ac:dyDescent="0.25">
      <c r="A131" s="11"/>
    </row>
    <row r="132" spans="1:1" x14ac:dyDescent="0.25">
      <c r="A132" s="11"/>
    </row>
    <row r="133" spans="1:1" x14ac:dyDescent="0.25">
      <c r="A133" s="11"/>
    </row>
    <row r="134" spans="1:1" x14ac:dyDescent="0.25">
      <c r="A134" s="11"/>
    </row>
    <row r="135" spans="1:1" x14ac:dyDescent="0.25">
      <c r="A135" s="11"/>
    </row>
    <row r="136" spans="1:1" x14ac:dyDescent="0.25">
      <c r="A136" s="11"/>
    </row>
    <row r="137" spans="1:1" x14ac:dyDescent="0.25">
      <c r="A137" s="11"/>
    </row>
    <row r="138" spans="1:1" x14ac:dyDescent="0.25">
      <c r="A138" s="11"/>
    </row>
    <row r="139" spans="1:1" x14ac:dyDescent="0.25">
      <c r="A139" s="11"/>
    </row>
    <row r="140" spans="1:1" x14ac:dyDescent="0.25">
      <c r="A140" s="11"/>
    </row>
    <row r="141" spans="1:1" x14ac:dyDescent="0.25">
      <c r="A141" s="11"/>
    </row>
    <row r="142" spans="1:1" x14ac:dyDescent="0.25">
      <c r="A142" s="11"/>
    </row>
    <row r="143" spans="1:1" x14ac:dyDescent="0.25">
      <c r="A143" s="11"/>
    </row>
    <row r="144" spans="1:1" x14ac:dyDescent="0.25">
      <c r="A144" s="11"/>
    </row>
    <row r="145" spans="1:1" x14ac:dyDescent="0.25">
      <c r="A145" s="11"/>
    </row>
    <row r="146" spans="1:1" x14ac:dyDescent="0.25">
      <c r="A146" s="11"/>
    </row>
    <row r="147" spans="1:1" x14ac:dyDescent="0.25">
      <c r="A147" s="11"/>
    </row>
    <row r="148" spans="1:1" x14ac:dyDescent="0.25">
      <c r="A148" s="11"/>
    </row>
    <row r="149" spans="1:1" x14ac:dyDescent="0.25">
      <c r="A149" s="11"/>
    </row>
    <row r="150" spans="1:1" x14ac:dyDescent="0.25">
      <c r="A150" s="11"/>
    </row>
    <row r="151" spans="1:1" x14ac:dyDescent="0.25">
      <c r="A151" s="11"/>
    </row>
    <row r="152" spans="1:1" x14ac:dyDescent="0.25">
      <c r="A152" s="11"/>
    </row>
    <row r="153" spans="1:1" x14ac:dyDescent="0.25">
      <c r="A153" s="11"/>
    </row>
    <row r="154" spans="1:1" x14ac:dyDescent="0.25">
      <c r="A154" s="11"/>
    </row>
    <row r="155" spans="1:1" x14ac:dyDescent="0.25">
      <c r="A155" s="11"/>
    </row>
    <row r="156" spans="1:1" x14ac:dyDescent="0.25">
      <c r="A156" s="11"/>
    </row>
    <row r="157" spans="1:1" x14ac:dyDescent="0.25">
      <c r="A157" s="11"/>
    </row>
    <row r="158" spans="1:1" x14ac:dyDescent="0.25">
      <c r="A158" s="11"/>
    </row>
    <row r="159" spans="1:1" x14ac:dyDescent="0.25">
      <c r="A159" s="11"/>
    </row>
    <row r="160" spans="1:1" x14ac:dyDescent="0.25">
      <c r="A160" s="11"/>
    </row>
    <row r="161" spans="1:1" x14ac:dyDescent="0.25">
      <c r="A161" s="11"/>
    </row>
    <row r="162" spans="1:1" x14ac:dyDescent="0.25">
      <c r="A162" s="11"/>
    </row>
    <row r="163" spans="1:1" x14ac:dyDescent="0.25">
      <c r="A163" s="11"/>
    </row>
    <row r="164" spans="1:1" x14ac:dyDescent="0.25">
      <c r="A164" s="11"/>
    </row>
    <row r="165" spans="1:1" x14ac:dyDescent="0.25">
      <c r="A165" s="11"/>
    </row>
    <row r="166" spans="1:1" x14ac:dyDescent="0.25">
      <c r="A166" s="11"/>
    </row>
    <row r="167" spans="1:1" x14ac:dyDescent="0.25">
      <c r="A167" s="11"/>
    </row>
    <row r="168" spans="1:1" x14ac:dyDescent="0.25">
      <c r="A168" s="11"/>
    </row>
    <row r="169" spans="1:1" x14ac:dyDescent="0.25">
      <c r="A169" s="11"/>
    </row>
    <row r="170" spans="1:1" x14ac:dyDescent="0.25">
      <c r="A170" s="11"/>
    </row>
    <row r="171" spans="1:1" x14ac:dyDescent="0.25">
      <c r="A171" s="11"/>
    </row>
    <row r="172" spans="1:1" x14ac:dyDescent="0.25">
      <c r="A172" s="11"/>
    </row>
    <row r="173" spans="1:1" x14ac:dyDescent="0.25">
      <c r="A173" s="11"/>
    </row>
    <row r="174" spans="1:1" x14ac:dyDescent="0.25">
      <c r="A174" s="11"/>
    </row>
    <row r="175" spans="1:1" x14ac:dyDescent="0.25">
      <c r="A175" s="11"/>
    </row>
    <row r="176" spans="1:1" x14ac:dyDescent="0.25">
      <c r="A176" s="11"/>
    </row>
    <row r="177" spans="1:1" x14ac:dyDescent="0.25">
      <c r="A177" s="11"/>
    </row>
    <row r="178" spans="1:1" x14ac:dyDescent="0.25">
      <c r="A178" s="11"/>
    </row>
    <row r="179" spans="1:1" x14ac:dyDescent="0.25">
      <c r="A179" s="11"/>
    </row>
    <row r="180" spans="1:1" x14ac:dyDescent="0.25">
      <c r="A180" s="11"/>
    </row>
    <row r="181" spans="1:1" x14ac:dyDescent="0.25">
      <c r="A181" s="11"/>
    </row>
    <row r="182" spans="1:1" x14ac:dyDescent="0.25">
      <c r="A182" s="11"/>
    </row>
    <row r="183" spans="1:1" x14ac:dyDescent="0.25">
      <c r="A183" s="11"/>
    </row>
    <row r="184" spans="1:1" x14ac:dyDescent="0.25">
      <c r="A184" s="11"/>
    </row>
    <row r="185" spans="1:1" x14ac:dyDescent="0.25">
      <c r="A185" s="11"/>
    </row>
    <row r="186" spans="1:1" x14ac:dyDescent="0.25">
      <c r="A186" s="11"/>
    </row>
    <row r="187" spans="1:1" x14ac:dyDescent="0.25">
      <c r="A187" s="11"/>
    </row>
    <row r="188" spans="1:1" x14ac:dyDescent="0.25">
      <c r="A188" s="11"/>
    </row>
    <row r="189" spans="1:1" x14ac:dyDescent="0.25">
      <c r="A189" s="11"/>
    </row>
    <row r="190" spans="1:1" x14ac:dyDescent="0.25">
      <c r="A190" s="11"/>
    </row>
    <row r="191" spans="1:1" x14ac:dyDescent="0.25">
      <c r="A191" s="11"/>
    </row>
    <row r="192" spans="1:1" x14ac:dyDescent="0.25">
      <c r="A192" s="11"/>
    </row>
    <row r="193" spans="1:1" x14ac:dyDescent="0.25">
      <c r="A193" s="11"/>
    </row>
    <row r="194" spans="1:1" x14ac:dyDescent="0.25">
      <c r="A194" s="11"/>
    </row>
    <row r="195" spans="1:1" x14ac:dyDescent="0.25">
      <c r="A195" s="11"/>
    </row>
    <row r="196" spans="1:1" x14ac:dyDescent="0.25">
      <c r="A196" s="11"/>
    </row>
    <row r="197" spans="1:1" x14ac:dyDescent="0.25">
      <c r="A197" s="11"/>
    </row>
    <row r="198" spans="1:1" x14ac:dyDescent="0.25">
      <c r="A198" s="11"/>
    </row>
    <row r="199" spans="1:1" x14ac:dyDescent="0.25">
      <c r="A199" s="11"/>
    </row>
    <row r="200" spans="1:1" x14ac:dyDescent="0.25">
      <c r="A200" s="11"/>
    </row>
    <row r="201" spans="1:1" x14ac:dyDescent="0.25">
      <c r="A201" s="11"/>
    </row>
    <row r="202" spans="1:1" x14ac:dyDescent="0.25">
      <c r="A202" s="11"/>
    </row>
    <row r="203" spans="1:1" x14ac:dyDescent="0.25">
      <c r="A203" s="11"/>
    </row>
    <row r="204" spans="1:1" x14ac:dyDescent="0.25">
      <c r="A204" s="11"/>
    </row>
    <row r="205" spans="1:1" x14ac:dyDescent="0.25">
      <c r="A205" s="11"/>
    </row>
    <row r="206" spans="1:1" x14ac:dyDescent="0.25">
      <c r="A206" s="11"/>
    </row>
    <row r="207" spans="1:1" x14ac:dyDescent="0.25">
      <c r="A207" s="11"/>
    </row>
    <row r="208" spans="1:1" x14ac:dyDescent="0.25">
      <c r="A208" s="11"/>
    </row>
    <row r="209" spans="1:1" x14ac:dyDescent="0.25">
      <c r="A209" s="11"/>
    </row>
    <row r="210" spans="1:1" x14ac:dyDescent="0.25">
      <c r="A210" s="11"/>
    </row>
    <row r="211" spans="1:1" x14ac:dyDescent="0.25">
      <c r="A211" s="11"/>
    </row>
    <row r="212" spans="1:1" x14ac:dyDescent="0.25">
      <c r="A212" s="11"/>
    </row>
    <row r="213" spans="1:1" x14ac:dyDescent="0.25">
      <c r="A213" s="11"/>
    </row>
    <row r="214" spans="1:1" x14ac:dyDescent="0.25">
      <c r="A214" s="11"/>
    </row>
    <row r="215" spans="1:1" x14ac:dyDescent="0.25">
      <c r="A215" s="11"/>
    </row>
    <row r="216" spans="1:1" x14ac:dyDescent="0.25">
      <c r="A216" s="11"/>
    </row>
    <row r="217" spans="1:1" x14ac:dyDescent="0.25">
      <c r="A217" s="11"/>
    </row>
    <row r="218" spans="1:1" x14ac:dyDescent="0.25">
      <c r="A218" s="11"/>
    </row>
    <row r="219" spans="1:1" x14ac:dyDescent="0.25">
      <c r="A219" s="11"/>
    </row>
    <row r="220" spans="1:1" x14ac:dyDescent="0.25">
      <c r="A220" s="11"/>
    </row>
    <row r="221" spans="1:1" x14ac:dyDescent="0.25">
      <c r="A221" s="11"/>
    </row>
    <row r="222" spans="1:1" x14ac:dyDescent="0.25">
      <c r="A222" s="11"/>
    </row>
    <row r="223" spans="1:1" x14ac:dyDescent="0.25">
      <c r="A223" s="11"/>
    </row>
    <row r="224" spans="1:1" x14ac:dyDescent="0.25">
      <c r="A224" s="11"/>
    </row>
    <row r="225" spans="1:1" x14ac:dyDescent="0.25">
      <c r="A225" s="11"/>
    </row>
    <row r="226" spans="1:1" x14ac:dyDescent="0.25">
      <c r="A226" s="11"/>
    </row>
    <row r="227" spans="1:1" x14ac:dyDescent="0.25">
      <c r="A227" s="11"/>
    </row>
    <row r="228" spans="1:1" x14ac:dyDescent="0.25">
      <c r="A228" s="11"/>
    </row>
    <row r="229" spans="1:1" x14ac:dyDescent="0.25">
      <c r="A229" s="11"/>
    </row>
    <row r="230" spans="1:1" x14ac:dyDescent="0.25">
      <c r="A230" s="11"/>
    </row>
    <row r="231" spans="1:1" x14ac:dyDescent="0.25">
      <c r="A231" s="11"/>
    </row>
    <row r="232" spans="1:1" x14ac:dyDescent="0.25">
      <c r="A232" s="11"/>
    </row>
    <row r="233" spans="1:1" x14ac:dyDescent="0.25">
      <c r="A233" s="11"/>
    </row>
    <row r="234" spans="1:1" x14ac:dyDescent="0.25">
      <c r="A234" s="11"/>
    </row>
    <row r="235" spans="1:1" x14ac:dyDescent="0.25">
      <c r="A235" s="11"/>
    </row>
    <row r="236" spans="1:1" x14ac:dyDescent="0.25">
      <c r="A236" s="11"/>
    </row>
    <row r="237" spans="1:1" x14ac:dyDescent="0.25">
      <c r="A237" s="11"/>
    </row>
    <row r="238" spans="1:1" x14ac:dyDescent="0.25">
      <c r="A238" s="11"/>
    </row>
    <row r="239" spans="1:1" x14ac:dyDescent="0.25">
      <c r="A239" s="11"/>
    </row>
    <row r="240" spans="1:1" x14ac:dyDescent="0.25">
      <c r="A240" s="11"/>
    </row>
    <row r="241" spans="1:1" x14ac:dyDescent="0.25">
      <c r="A241" s="11"/>
    </row>
    <row r="242" spans="1:1" x14ac:dyDescent="0.25">
      <c r="A242" s="11"/>
    </row>
    <row r="243" spans="1:1" x14ac:dyDescent="0.25">
      <c r="A243" s="11"/>
    </row>
    <row r="244" spans="1:1" x14ac:dyDescent="0.25">
      <c r="A244" s="11"/>
    </row>
    <row r="245" spans="1:1" x14ac:dyDescent="0.25">
      <c r="A245" s="11"/>
    </row>
    <row r="246" spans="1:1" x14ac:dyDescent="0.25">
      <c r="A246" s="11"/>
    </row>
    <row r="247" spans="1:1" x14ac:dyDescent="0.25">
      <c r="A247" s="11"/>
    </row>
    <row r="248" spans="1:1" x14ac:dyDescent="0.25">
      <c r="A248" s="11"/>
    </row>
    <row r="249" spans="1:1" x14ac:dyDescent="0.25">
      <c r="A249" s="11"/>
    </row>
    <row r="250" spans="1:1" x14ac:dyDescent="0.25">
      <c r="A250" s="11"/>
    </row>
    <row r="251" spans="1:1" x14ac:dyDescent="0.25">
      <c r="A251" s="11"/>
    </row>
    <row r="252" spans="1:1" x14ac:dyDescent="0.25">
      <c r="A252" s="11"/>
    </row>
    <row r="253" spans="1:1" x14ac:dyDescent="0.25">
      <c r="A253" s="11"/>
    </row>
    <row r="254" spans="1:1" x14ac:dyDescent="0.25">
      <c r="A254" s="11"/>
    </row>
    <row r="255" spans="1:1" x14ac:dyDescent="0.25">
      <c r="A255" s="11"/>
    </row>
    <row r="256" spans="1:1" x14ac:dyDescent="0.25">
      <c r="A256" s="11"/>
    </row>
    <row r="257" spans="1:1" x14ac:dyDescent="0.25">
      <c r="A257" s="11"/>
    </row>
    <row r="258" spans="1:1" x14ac:dyDescent="0.25">
      <c r="A258" s="11"/>
    </row>
    <row r="259" spans="1:1" x14ac:dyDescent="0.25">
      <c r="A259" s="11"/>
    </row>
    <row r="260" spans="1:1" x14ac:dyDescent="0.25">
      <c r="A260" s="11"/>
    </row>
    <row r="261" spans="1:1" x14ac:dyDescent="0.25">
      <c r="A261" s="11"/>
    </row>
    <row r="262" spans="1:1" x14ac:dyDescent="0.25">
      <c r="A262" s="11"/>
    </row>
    <row r="263" spans="1:1" x14ac:dyDescent="0.25">
      <c r="A263" s="11"/>
    </row>
    <row r="264" spans="1:1" x14ac:dyDescent="0.25">
      <c r="A264" s="11"/>
    </row>
    <row r="265" spans="1:1" x14ac:dyDescent="0.25">
      <c r="A265" s="11"/>
    </row>
    <row r="266" spans="1:1" x14ac:dyDescent="0.25">
      <c r="A266" s="11"/>
    </row>
    <row r="267" spans="1:1" x14ac:dyDescent="0.25">
      <c r="A267" s="11"/>
    </row>
    <row r="268" spans="1:1" x14ac:dyDescent="0.25">
      <c r="A268" s="11"/>
    </row>
    <row r="269" spans="1:1" x14ac:dyDescent="0.25">
      <c r="A269" s="11"/>
    </row>
    <row r="270" spans="1:1" x14ac:dyDescent="0.25">
      <c r="A270" s="11"/>
    </row>
    <row r="271" spans="1:1" x14ac:dyDescent="0.25">
      <c r="A271" s="11"/>
    </row>
    <row r="272" spans="1:1" x14ac:dyDescent="0.25">
      <c r="A272" s="11"/>
    </row>
    <row r="273" spans="1:1" x14ac:dyDescent="0.25">
      <c r="A273" s="11"/>
    </row>
    <row r="274" spans="1:1" x14ac:dyDescent="0.25">
      <c r="A274" s="11"/>
    </row>
    <row r="275" spans="1:1" x14ac:dyDescent="0.25">
      <c r="A275" s="11"/>
    </row>
    <row r="276" spans="1:1" x14ac:dyDescent="0.25">
      <c r="A276" s="11"/>
    </row>
    <row r="277" spans="1:1" x14ac:dyDescent="0.25">
      <c r="A277" s="11"/>
    </row>
    <row r="278" spans="1:1" x14ac:dyDescent="0.25">
      <c r="A278" s="11"/>
    </row>
    <row r="279" spans="1:1" x14ac:dyDescent="0.25">
      <c r="A279" s="11"/>
    </row>
    <row r="280" spans="1:1" x14ac:dyDescent="0.25">
      <c r="A280" s="11"/>
    </row>
    <row r="281" spans="1:1" x14ac:dyDescent="0.25">
      <c r="A281" s="11"/>
    </row>
    <row r="282" spans="1:1" x14ac:dyDescent="0.25">
      <c r="A282" s="11"/>
    </row>
  </sheetData>
  <pageMargins left="0.70866141732283472" right="0.39370078740157483" top="0.39370078740157483" bottom="0.39370078740157483" header="0" footer="0"/>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
  <sheetViews>
    <sheetView workbookViewId="0">
      <selection activeCell="Q13" sqref="Q13"/>
    </sheetView>
  </sheetViews>
  <sheetFormatPr defaultRowHeight="15" x14ac:dyDescent="0.25"/>
  <sheetData>
    <row r="5" spans="3:3" x14ac:dyDescent="0.25">
      <c r="C5" t="s">
        <v>363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0"/>
  <sheetViews>
    <sheetView workbookViewId="0">
      <selection activeCell="G12" sqref="G12"/>
    </sheetView>
  </sheetViews>
  <sheetFormatPr defaultRowHeight="15" x14ac:dyDescent="0.25"/>
  <sheetData>
    <row r="10" spans="7:7" x14ac:dyDescent="0.25">
      <c r="G10" t="s">
        <v>364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0"/>
  <sheetViews>
    <sheetView workbookViewId="0">
      <selection activeCell="G10" sqref="G10"/>
    </sheetView>
  </sheetViews>
  <sheetFormatPr defaultRowHeight="15" x14ac:dyDescent="0.25"/>
  <sheetData>
    <row r="10" spans="7:7" x14ac:dyDescent="0.25">
      <c r="G10"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A4 TEMPLATE</vt:lpstr>
      <vt:lpstr>LC-E</vt:lpstr>
      <vt:lpstr>LCE FORMAT</vt:lpstr>
      <vt:lpstr>LC-A</vt:lpstr>
      <vt:lpstr>DATABASE</vt:lpstr>
      <vt:lpstr>CUST QUOTE MODULE</vt:lpstr>
      <vt:lpstr>GENERATE MAS FOR APPROVAL</vt:lpstr>
      <vt:lpstr>STOCK KEEPER MODULE</vt:lpstr>
      <vt:lpstr>STOCK BOOKING MODULE</vt:lpstr>
      <vt:lpstr>MGMT MODULE</vt:lpstr>
      <vt:lpstr>PURCHASE MODULE</vt:lpstr>
      <vt:lpstr>GENERATE CUST DO</vt:lpstr>
      <vt:lpstr>GENERATE CUST INVOICE</vt:lpstr>
      <vt:lpstr>GENERATE CUST COMP CERT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2026-02-24T13:44:46Z</cp:lastPrinted>
  <dcterms:created xsi:type="dcterms:W3CDTF">2015-06-05T18:17:20Z</dcterms:created>
  <dcterms:modified xsi:type="dcterms:W3CDTF">2026-04-11T11:35:18Z</dcterms:modified>
</cp:coreProperties>
</file>